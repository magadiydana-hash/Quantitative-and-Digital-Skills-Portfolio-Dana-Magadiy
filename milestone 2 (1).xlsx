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ile Analysis" sheetId="1" r:id="rId5"/>
    <sheet state="visible" name="Cohort Analysis" sheetId="2" r:id="rId6"/>
    <sheet state="visible" name="3 Cohort Analysis" sheetId="3" r:id="rId7"/>
    <sheet state="visible" name="Yearly Summaries" sheetId="4" r:id="rId8"/>
  </sheets>
  <definedNames>
    <definedName name="Exhibit_07">#REF!</definedName>
    <definedName name="Exhibit_06">#REF!</definedName>
    <definedName name="Exhibit_04">#REF!</definedName>
    <definedName name="Exhibit_08">#REF!</definedName>
    <definedName name="Exhibit_01">#REF!</definedName>
    <definedName name="Exhibit_02">#REF!</definedName>
    <definedName name="Exhibit_05">#REF!</definedName>
    <definedName name="Exhibit_03">#REF!</definedName>
    <definedName name="Exhibit_09">#REF!</definedName>
  </definedNames>
  <calcPr/>
</workbook>
</file>

<file path=xl/sharedStrings.xml><?xml version="1.0" encoding="utf-8"?>
<sst xmlns="http://schemas.openxmlformats.org/spreadsheetml/2006/main" count="142" uniqueCount="39">
  <si>
    <t>Percentages</t>
  </si>
  <si>
    <t>Decile</t>
  </si>
  <si>
    <t># Customers</t>
  </si>
  <si>
    <t>Total Transactions</t>
  </si>
  <si>
    <t>Revenue</t>
  </si>
  <si>
    <t>Profit</t>
  </si>
  <si>
    <t>Average revenue per customer</t>
  </si>
  <si>
    <t>Average profit per customer</t>
  </si>
  <si>
    <t>AOF AVerage order frequency</t>
  </si>
  <si>
    <t>Order Value =Revenue/Transactions</t>
  </si>
  <si>
    <t>Average Margin =Profit/Revenue</t>
  </si>
  <si>
    <t>TOTAL</t>
  </si>
  <si>
    <t>Quarter</t>
  </si>
  <si>
    <t>% active</t>
  </si>
  <si>
    <t>Avg spend/active customer</t>
  </si>
  <si>
    <t>AOF</t>
  </si>
  <si>
    <t>AOV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</si>
  <si>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</si>
  <si>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</si>
  <si>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</si>
  <si>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</si>
  <si>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</si>
  <si>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</si>
  <si>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</si>
  <si>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</si>
  <si>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</si>
  <si>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</si>
  <si>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</si>
  <si>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</si>
  <si>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</si>
  <si>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</si>
  <si>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</si>
  <si>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</si>
  <si>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Q3 2021</t>
  </si>
  <si>
    <t>Q4 2021</t>
  </si>
  <si>
    <t>Q4 2022</t>
  </si>
  <si>
    <t>https://docs.google.com/spreadsheets/d/16x8zlfdKSDrt8KCRVrkRtkOdrEvM_DMxIaDW7Ubr9Vc/edit?gid=353029270#gid=353029270</t>
  </si>
  <si>
    <t>Pre-2021</t>
  </si>
  <si>
    <t>Table 4 Yearly summaries for all cohorts of customers, including those acquired before 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</si>
</sst>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00000000000000"/>
    <numFmt numFmtId="165" formatCode="0.0"/>
    <numFmt numFmtId="166" formatCode="[$$-409]#,##0"/>
    <numFmt numFmtId="167" formatCode="_(* #,##0_);_(* \(#,##0\);_(* &quot;-&quot;??_);_(@_)"/>
    <numFmt numFmtId="168" formatCode="_(* #,##0.0_);_(* \(#,##0.0\);_(* &quot;-&quot;??_);_(@_)"/>
  </numFmts>
  <fonts count="1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  <font>
      <color theme="1"/>
      <name val="Arial"/>
      <scheme val="minor"/>
    </font>
    <font>
      <sz val="11.0"/>
      <color theme="1"/>
      <name val="Helvetica Neue"/>
    </font>
    <font>
      <b/>
      <sz val="11.0"/>
      <color rgb="FF000000"/>
      <name val="Calibri"/>
    </font>
    <font>
      <color rgb="FF000000"/>
      <name val="Arial"/>
      <scheme val="minor"/>
    </font>
    <font>
      <sz val="11.0"/>
      <color rgb="FF000000"/>
      <name val="Calibri"/>
    </font>
    <font>
      <sz val="11.0"/>
      <color rgb="FF000000"/>
      <name val="Helvetica Neue"/>
    </font>
    <font>
      <u/>
      <sz val="11.0"/>
      <color rgb="FF000000"/>
      <name val="Calibri"/>
    </font>
    <font>
      <u/>
      <sz val="11.0"/>
      <color rgb="FF000000"/>
      <name val="Calibri"/>
    </font>
    <font>
      <sz val="11.0"/>
      <color rgb="FFC00000"/>
      <name val="Calibri"/>
    </font>
    <font>
      <b/>
      <color theme="1"/>
      <name val="&quot;Calibri&quot;"/>
    </font>
  </fonts>
  <fills count="8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16">
    <border/>
    <border>
      <left/>
      <right/>
      <top/>
      <bottom/>
    </border>
    <border>
      <left/>
      <right/>
      <top style="thin">
        <color rgb="FF000000"/>
      </top>
      <bottom/>
    </border>
    <border>
      <left/>
      <right/>
      <top/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horizontal="right" shrinkToFit="0" vertical="bottom" wrapText="1"/>
    </xf>
    <xf borderId="0" fillId="2" fontId="2" numFmtId="3" xfId="0" applyAlignment="1" applyFont="1" applyNumberFormat="1">
      <alignment horizontal="right" shrinkToFit="0" vertical="bottom" wrapText="1"/>
    </xf>
    <xf borderId="0" fillId="2" fontId="2" numFmtId="10" xfId="0" applyAlignment="1" applyFont="1" applyNumberFormat="1">
      <alignment horizontal="right" shrinkToFit="0" vertical="bottom" wrapText="1"/>
    </xf>
    <xf borderId="0" fillId="2" fontId="2" numFmtId="4" xfId="0" applyAlignment="1" applyFont="1" applyNumberFormat="1">
      <alignment horizontal="right" shrinkToFit="0" vertical="bottom" wrapText="1"/>
    </xf>
    <xf borderId="0" fillId="2" fontId="2" numFmtId="165" xfId="0" applyAlignment="1" applyFont="1" applyNumberFormat="1">
      <alignment horizontal="right" shrinkToFit="0" vertical="bottom" wrapText="1"/>
    </xf>
    <xf borderId="0" fillId="2" fontId="2" numFmtId="166" xfId="0" applyAlignment="1" applyFont="1" applyNumberFormat="1">
      <alignment horizontal="right" shrinkToFit="0" vertical="bottom" wrapText="1"/>
    </xf>
    <xf borderId="0" fillId="3" fontId="1" numFmtId="9" xfId="0" applyAlignment="1" applyFill="1" applyFont="1" applyNumberFormat="1">
      <alignment shrinkToFit="0" vertical="bottom" wrapText="1"/>
    </xf>
    <xf borderId="0" fillId="3" fontId="1" numFmtId="0" xfId="0" applyAlignment="1" applyFont="1">
      <alignment shrinkToFit="0" vertical="bottom" wrapText="1"/>
    </xf>
    <xf borderId="1" fillId="2" fontId="2" numFmtId="0" xfId="0" applyAlignment="1" applyBorder="1" applyFont="1">
      <alignment horizontal="right" vertical="bottom"/>
    </xf>
    <xf borderId="1" fillId="2" fontId="2" numFmtId="3" xfId="0" applyAlignment="1" applyBorder="1" applyFont="1" applyNumberFormat="1">
      <alignment horizontal="right" vertical="bottom"/>
    </xf>
    <xf borderId="0" fillId="0" fontId="1" numFmtId="9" xfId="0" applyAlignment="1" applyFont="1" applyNumberForma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3" fontId="1" numFmtId="4" xfId="0" applyAlignment="1" applyFont="1" applyNumberFormat="1">
      <alignment horizontal="right" vertical="bottom"/>
    </xf>
    <xf borderId="0" fillId="3" fontId="1" numFmtId="165" xfId="0" applyAlignment="1" applyFont="1" applyNumberFormat="1">
      <alignment horizontal="right" vertical="bottom"/>
    </xf>
    <xf borderId="0" fillId="3" fontId="1" numFmtId="166" xfId="0" applyAlignment="1" applyFont="1" applyNumberFormat="1">
      <alignment horizontal="right" vertical="bottom"/>
    </xf>
    <xf borderId="0" fillId="3" fontId="1" numFmtId="9" xfId="0" applyAlignment="1" applyFont="1" applyNumberFormat="1">
      <alignment horizontal="right" vertical="bottom"/>
    </xf>
    <xf borderId="2" fillId="2" fontId="2" numFmtId="0" xfId="0" applyAlignment="1" applyBorder="1" applyFont="1">
      <alignment horizontal="right" vertical="bottom"/>
    </xf>
    <xf borderId="2" fillId="2" fontId="2" numFmtId="3" xfId="0" applyAlignment="1" applyBorder="1" applyFont="1" applyNumberFormat="1">
      <alignment horizontal="right" vertical="bottom"/>
    </xf>
    <xf borderId="0" fillId="4" fontId="1" numFmtId="4" xfId="0" applyAlignment="1" applyFill="1" applyFont="1" applyNumberFormat="1">
      <alignment horizontal="right" vertical="bottom"/>
    </xf>
    <xf borderId="0" fillId="4" fontId="1" numFmtId="165" xfId="0" applyAlignment="1" applyFont="1" applyNumberFormat="1">
      <alignment horizontal="right" vertical="bottom"/>
    </xf>
    <xf borderId="0" fillId="4" fontId="1" numFmtId="166" xfId="0" applyAlignment="1" applyFont="1" applyNumberFormat="1">
      <alignment horizontal="right" vertical="bottom"/>
    </xf>
    <xf borderId="0" fillId="4" fontId="1" numFmtId="9" xfId="0" applyAlignment="1" applyFont="1" applyNumberFormat="1">
      <alignment horizontal="right" vertical="bottom"/>
    </xf>
    <xf borderId="0" fillId="5" fontId="1" numFmtId="4" xfId="0" applyAlignment="1" applyFill="1" applyFont="1" applyNumberFormat="1">
      <alignment horizontal="right" vertical="bottom"/>
    </xf>
    <xf borderId="0" fillId="5" fontId="1" numFmtId="165" xfId="0" applyAlignment="1" applyFont="1" applyNumberFormat="1">
      <alignment horizontal="right" vertical="bottom"/>
    </xf>
    <xf borderId="0" fillId="5" fontId="1" numFmtId="166" xfId="0" applyAlignment="1" applyFont="1" applyNumberFormat="1">
      <alignment horizontal="right" vertical="bottom"/>
    </xf>
    <xf borderId="0" fillId="5" fontId="1" numFmtId="9" xfId="0" applyAlignment="1" applyFont="1" applyNumberFormat="1">
      <alignment horizontal="right" vertical="bottom"/>
    </xf>
    <xf borderId="3" fillId="6" fontId="2" numFmtId="0" xfId="0" applyAlignment="1" applyBorder="1" applyFill="1" applyFont="1">
      <alignment vertical="bottom"/>
    </xf>
    <xf borderId="3" fillId="6" fontId="2" numFmtId="3" xfId="0" applyAlignment="1" applyBorder="1" applyFont="1" applyNumberFormat="1">
      <alignment horizontal="right" vertical="bottom"/>
    </xf>
    <xf borderId="0" fillId="0" fontId="1" numFmtId="4" xfId="0" applyAlignment="1" applyFont="1" applyNumberFormat="1">
      <alignment vertical="bottom"/>
    </xf>
    <xf borderId="0" fillId="0" fontId="1" numFmtId="4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1" numFmtId="166" xfId="0" applyAlignment="1" applyFont="1" applyNumberFormat="1">
      <alignment horizontal="right" vertical="bottom"/>
    </xf>
    <xf borderId="1" fillId="0" fontId="1" numFmtId="0" xfId="0" applyAlignment="1" applyBorder="1" applyFont="1">
      <alignment vertical="bottom"/>
    </xf>
    <xf borderId="0" fillId="0" fontId="1" numFmtId="9" xfId="0" applyAlignment="1" applyFont="1" applyNumberFormat="1">
      <alignment vertical="bottom"/>
    </xf>
    <xf borderId="0" fillId="0" fontId="1" numFmtId="166" xfId="0" applyAlignment="1" applyFont="1" applyNumberFormat="1">
      <alignment vertical="bottom"/>
    </xf>
    <xf borderId="4" fillId="7" fontId="2" numFmtId="0" xfId="0" applyAlignment="1" applyBorder="1" applyFill="1" applyFont="1">
      <alignment horizontal="right" shrinkToFit="0" wrapText="1"/>
    </xf>
    <xf borderId="4" fillId="7" fontId="2" numFmtId="10" xfId="0" applyAlignment="1" applyBorder="1" applyFont="1" applyNumberFormat="1">
      <alignment horizontal="right" shrinkToFit="0" wrapText="1"/>
    </xf>
    <xf borderId="4" fillId="0" fontId="2" numFmtId="165" xfId="0" applyAlignment="1" applyBorder="1" applyFont="1" applyNumberFormat="1">
      <alignment horizontal="right" shrinkToFit="0" wrapText="1"/>
    </xf>
    <xf borderId="0" fillId="0" fontId="2" numFmtId="0" xfId="0" applyAlignment="1" applyFont="1">
      <alignment shrinkToFit="0" wrapText="1"/>
    </xf>
    <xf borderId="4" fillId="7" fontId="2" numFmtId="0" xfId="0" applyAlignment="1" applyBorder="1" applyFont="1">
      <alignment horizontal="right" readingOrder="0"/>
    </xf>
    <xf borderId="4" fillId="7" fontId="2" numFmtId="3" xfId="0" applyBorder="1" applyFont="1" applyNumberFormat="1"/>
    <xf borderId="4" fillId="7" fontId="3" numFmtId="10" xfId="0" applyBorder="1" applyFont="1" applyNumberFormat="1"/>
    <xf borderId="4" fillId="0" fontId="3" numFmtId="165" xfId="0" applyBorder="1" applyFont="1" applyNumberFormat="1"/>
    <xf borderId="0" fillId="0" fontId="2" numFmtId="0" xfId="0" applyAlignment="1" applyFont="1">
      <alignment horizontal="center"/>
    </xf>
    <xf borderId="0" fillId="0" fontId="3" numFmtId="10" xfId="0" applyFont="1" applyNumberFormat="1"/>
    <xf borderId="0" fillId="0" fontId="4" numFmtId="0" xfId="0" applyAlignment="1" applyFont="1">
      <alignment horizontal="center"/>
    </xf>
    <xf borderId="0" fillId="0" fontId="4" numFmtId="0" xfId="0" applyFont="1"/>
    <xf borderId="0" fillId="0" fontId="4" numFmtId="10" xfId="0" applyFont="1" applyNumberFormat="1"/>
    <xf borderId="0" fillId="0" fontId="5" numFmtId="0" xfId="0" applyAlignment="1" applyFont="1">
      <alignment horizontal="center" readingOrder="0"/>
    </xf>
    <xf borderId="0" fillId="0" fontId="6" numFmtId="0" xfId="0" applyFont="1"/>
    <xf borderId="0" fillId="0" fontId="6" numFmtId="4" xfId="0" applyFont="1" applyNumberFormat="1"/>
    <xf borderId="1" fillId="7" fontId="7" numFmtId="0" xfId="0" applyAlignment="1" applyBorder="1" applyFont="1">
      <alignment horizontal="right" shrinkToFit="0" wrapText="1"/>
    </xf>
    <xf borderId="1" fillId="7" fontId="7" numFmtId="4" xfId="0" applyAlignment="1" applyBorder="1" applyFont="1" applyNumberFormat="1">
      <alignment horizontal="right" shrinkToFit="0" wrapText="1"/>
    </xf>
    <xf borderId="0" fillId="0" fontId="7" numFmtId="0" xfId="0" applyAlignment="1" applyFont="1">
      <alignment shrinkToFit="0" wrapText="1"/>
    </xf>
    <xf borderId="1" fillId="7" fontId="7" numFmtId="0" xfId="0" applyAlignment="1" applyBorder="1" applyFont="1">
      <alignment horizontal="right" readingOrder="0"/>
    </xf>
    <xf borderId="1" fillId="7" fontId="7" numFmtId="3" xfId="0" applyBorder="1" applyFont="1" applyNumberFormat="1"/>
    <xf borderId="1" fillId="7" fontId="7" numFmtId="4" xfId="0" applyBorder="1" applyFont="1" applyNumberFormat="1"/>
    <xf borderId="1" fillId="7" fontId="7" numFmtId="0" xfId="0" applyAlignment="1" applyBorder="1" applyFont="1">
      <alignment horizontal="right"/>
    </xf>
    <xf borderId="3" fillId="7" fontId="7" numFmtId="0" xfId="0" applyAlignment="1" applyBorder="1" applyFont="1">
      <alignment horizontal="right" readingOrder="0"/>
    </xf>
    <xf borderId="3" fillId="7" fontId="7" numFmtId="3" xfId="0" applyBorder="1" applyFont="1" applyNumberFormat="1"/>
    <xf borderId="3" fillId="7" fontId="7" numFmtId="4" xfId="0" applyBorder="1" applyFont="1" applyNumberFormat="1"/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8" numFmtId="0" xfId="0" applyFont="1"/>
    <xf borderId="5" fillId="0" fontId="7" numFmtId="0" xfId="0" applyAlignment="1" applyBorder="1" applyFont="1">
      <alignment shrinkToFit="0" wrapText="1"/>
    </xf>
    <xf borderId="0" fillId="0" fontId="7" numFmtId="0" xfId="0" applyAlignment="1" applyFont="1">
      <alignment horizontal="right"/>
    </xf>
    <xf borderId="0" fillId="0" fontId="7" numFmtId="167" xfId="0" applyFont="1" applyNumberFormat="1"/>
    <xf borderId="0" fillId="0" fontId="7" numFmtId="9" xfId="0" applyFont="1" applyNumberFormat="1"/>
    <xf borderId="0" fillId="0" fontId="7" numFmtId="1" xfId="0" applyFont="1" applyNumberFormat="1"/>
    <xf borderId="0" fillId="0" fontId="7" numFmtId="165" xfId="0" applyFont="1" applyNumberFormat="1"/>
    <xf borderId="0" fillId="0" fontId="7" numFmtId="168" xfId="0" applyFont="1" applyNumberFormat="1"/>
    <xf borderId="0" fillId="0" fontId="7" numFmtId="0" xfId="0" applyAlignment="1" applyFont="1">
      <alignment horizontal="right" readingOrder="0"/>
    </xf>
    <xf borderId="0" fillId="0" fontId="7" numFmtId="1" xfId="0" applyAlignment="1" applyFont="1" applyNumberFormat="1">
      <alignment horizontal="right"/>
    </xf>
    <xf borderId="0" fillId="0" fontId="9" numFmtId="0" xfId="0" applyAlignment="1" applyFont="1">
      <alignment horizontal="right" readingOrder="0"/>
    </xf>
    <xf borderId="6" fillId="0" fontId="7" numFmtId="0" xfId="0" applyAlignment="1" applyBorder="1" applyFont="1">
      <alignment horizontal="right"/>
    </xf>
    <xf borderId="6" fillId="0" fontId="7" numFmtId="167" xfId="0" applyBorder="1" applyFont="1" applyNumberFormat="1"/>
    <xf borderId="6" fillId="0" fontId="7" numFmtId="9" xfId="0" applyBorder="1" applyFont="1" applyNumberFormat="1"/>
    <xf borderId="6" fillId="0" fontId="7" numFmtId="1" xfId="0" applyBorder="1" applyFont="1" applyNumberFormat="1"/>
    <xf borderId="6" fillId="0" fontId="7" numFmtId="165" xfId="0" applyBorder="1" applyFont="1" applyNumberFormat="1"/>
    <xf borderId="6" fillId="0" fontId="7" numFmtId="1" xfId="0" applyAlignment="1" applyBorder="1" applyFont="1" applyNumberFormat="1">
      <alignment horizontal="right"/>
    </xf>
    <xf borderId="0" fillId="0" fontId="10" numFmtId="0" xfId="0" applyAlignment="1" applyFont="1">
      <alignment horizontal="center"/>
    </xf>
    <xf borderId="7" fillId="7" fontId="11" numFmtId="0" xfId="0" applyBorder="1" applyFont="1"/>
    <xf borderId="2" fillId="7" fontId="2" numFmtId="0" xfId="0" applyBorder="1" applyFont="1"/>
    <xf borderId="8" fillId="7" fontId="2" numFmtId="0" xfId="0" applyBorder="1" applyFont="1"/>
    <xf borderId="9" fillId="7" fontId="2" numFmtId="0" xfId="0" applyBorder="1" applyFont="1"/>
    <xf borderId="10" fillId="7" fontId="2" numFmtId="0" xfId="0" applyAlignment="1" applyBorder="1" applyFont="1">
      <alignment readingOrder="0"/>
    </xf>
    <xf borderId="11" fillId="7" fontId="2" numFmtId="0" xfId="0" applyAlignment="1" applyBorder="1" applyFont="1">
      <alignment readingOrder="0"/>
    </xf>
    <xf borderId="9" fillId="7" fontId="2" numFmtId="0" xfId="0" applyAlignment="1" applyBorder="1" applyFont="1">
      <alignment horizontal="right" readingOrder="0"/>
    </xf>
    <xf borderId="1" fillId="7" fontId="2" numFmtId="3" xfId="0" applyBorder="1" applyFont="1" applyNumberFormat="1"/>
    <xf borderId="12" fillId="7" fontId="2" numFmtId="3" xfId="0" applyBorder="1" applyFont="1" applyNumberFormat="1"/>
    <xf borderId="9" fillId="7" fontId="2" numFmtId="0" xfId="0" applyAlignment="1" applyBorder="1" applyFont="1">
      <alignment readingOrder="0"/>
    </xf>
    <xf borderId="1" fillId="7" fontId="2" numFmtId="0" xfId="0" applyBorder="1" applyFont="1"/>
    <xf borderId="12" fillId="7" fontId="2" numFmtId="0" xfId="0" applyBorder="1" applyFont="1"/>
    <xf borderId="9" fillId="7" fontId="11" numFmtId="0" xfId="0" applyBorder="1" applyFont="1"/>
    <xf borderId="13" fillId="7" fontId="2" numFmtId="0" xfId="0" applyAlignment="1" applyBorder="1" applyFont="1">
      <alignment readingOrder="0"/>
    </xf>
    <xf borderId="14" fillId="7" fontId="2" numFmtId="3" xfId="0" applyBorder="1" applyFont="1" applyNumberFormat="1"/>
    <xf borderId="15" fillId="7" fontId="2" numFmtId="3" xfId="0" applyBorder="1" applyFont="1" applyNumberFormat="1"/>
    <xf borderId="0" fillId="0" fontId="1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vs. Decile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'Decile Analysis'!$D$1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'Decile Analysis'!$A$2:$A$52</c:f>
            </c:strRef>
          </c:cat>
          <c:val>
            <c:numRef>
              <c:f>'Decile Analysis'!$D$2:$D$11</c:f>
              <c:numCache/>
            </c:numRef>
          </c:val>
        </c:ser>
        <c:axId val="1623455407"/>
        <c:axId val="1498719996"/>
      </c:barChart>
      <c:catAx>
        <c:axId val="16234554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Decile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8719996"/>
      </c:catAx>
      <c:valAx>
        <c:axId val="14987199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34554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spend/cust vs. Decile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'Decile Analysis'!$F$1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'Decile Analysis'!$A$2:$A$52</c:f>
            </c:strRef>
          </c:cat>
          <c:val>
            <c:numRef>
              <c:f>'Decile Analysis'!$F$2:$F$11</c:f>
              <c:numCache/>
            </c:numRef>
          </c:val>
          <c:smooth val="0"/>
        </c:ser>
        <c:axId val="1761316846"/>
        <c:axId val="1897752142"/>
      </c:lineChart>
      <c:catAx>
        <c:axId val="17613168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Decile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7752142"/>
      </c:catAx>
      <c:valAx>
        <c:axId val="18977521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spend/cust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13168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vs. Decile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'Decile Analysis'!$E$1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'Decile Analysis'!$A$2:$A$52</c:f>
            </c:strRef>
          </c:cat>
          <c:val>
            <c:numRef>
              <c:f>'Decile Analysis'!$E$2:$E$11</c:f>
              <c:numCache/>
            </c:numRef>
          </c:val>
        </c:ser>
        <c:axId val="2052831268"/>
        <c:axId val="405230145"/>
      </c:barChart>
      <c:catAx>
        <c:axId val="20528312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Decile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5230145"/>
      </c:catAx>
      <c:valAx>
        <c:axId val="4052301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spend/cust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28312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AOF vs. Decile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'Decile Analysis'!$H$1</c:f>
            </c:strRef>
          </c:tx>
          <c:spPr>
            <a:solidFill>
              <a:srgbClr val="F9CB9C"/>
            </a:solidFill>
            <a:ln cmpd="sng">
              <a:solidFill>
                <a:srgbClr val="000000"/>
              </a:solidFill>
            </a:ln>
          </c:spPr>
          <c:cat>
            <c:strRef>
              <c:f>'Decile Analysis'!$A$2:$A$52</c:f>
            </c:strRef>
          </c:cat>
          <c:val>
            <c:numRef>
              <c:f>'Decile Analysis'!$H$2:$H$11</c:f>
              <c:numCache/>
            </c:numRef>
          </c:val>
        </c:ser>
        <c:axId val="1156282344"/>
        <c:axId val="1901344943"/>
      </c:barChart>
      <c:catAx>
        <c:axId val="115628234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Decile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1344943"/>
      </c:catAx>
      <c:valAx>
        <c:axId val="190134494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AOF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628234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active vs. Quarter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'Cohort Analysis'!$F$1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'Cohort Analysis'!$A$2:$A$17</c:f>
            </c:strRef>
          </c:cat>
          <c:val>
            <c:numRef>
              <c:f>'Cohort Analysis'!$F$2:$F$17</c:f>
              <c:numCache/>
            </c:numRef>
          </c:val>
          <c:smooth val="0"/>
        </c:ser>
        <c:axId val="2081485157"/>
        <c:axId val="1946647678"/>
      </c:lineChart>
      <c:catAx>
        <c:axId val="20814851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6647678"/>
      </c:catAx>
      <c:valAx>
        <c:axId val="19466476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active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14851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spend/active customer vs. Quarter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'Cohort Analysis'!$G$1</c:f>
            </c:strRef>
          </c:tx>
          <c:spPr>
            <a:solidFill>
              <a:srgbClr val="6D9EEB"/>
            </a:solidFill>
            <a:ln cmpd="sng">
              <a:solidFill>
                <a:srgbClr val="000000"/>
              </a:solidFill>
            </a:ln>
          </c:spPr>
          <c:cat>
            <c:strRef>
              <c:f>'Cohort Analysis'!$A$2:$A$17</c:f>
            </c:strRef>
          </c:cat>
          <c:val>
            <c:numRef>
              <c:f>'Cohort Analysis'!$G$2:$G$17</c:f>
              <c:numCache/>
            </c:numRef>
          </c:val>
        </c:ser>
        <c:axId val="1878625145"/>
        <c:axId val="408528669"/>
      </c:barChart>
      <c:catAx>
        <c:axId val="18786251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8528669"/>
      </c:catAx>
      <c:valAx>
        <c:axId val="4085286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spend/active customer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86251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AOV vs. Quarter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'Cohort Analysis'!$I$1</c:f>
            </c:strRef>
          </c:tx>
          <c:spPr>
            <a:solidFill>
              <a:srgbClr val="F9CB9C"/>
            </a:solidFill>
            <a:ln cmpd="sng">
              <a:solidFill>
                <a:srgbClr val="000000"/>
              </a:solidFill>
            </a:ln>
          </c:spPr>
          <c:cat>
            <c:strRef>
              <c:f>'Cohort Analysis'!$A$2:$A$17</c:f>
            </c:strRef>
          </c:cat>
          <c:val>
            <c:numRef>
              <c:f>'Cohort Analysis'!$I$2:$I$17</c:f>
              <c:numCache/>
            </c:numRef>
          </c:val>
        </c:ser>
        <c:axId val="2139793527"/>
        <c:axId val="21012942"/>
      </c:barChart>
      <c:catAx>
        <c:axId val="213979352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12942"/>
      </c:catAx>
      <c:valAx>
        <c:axId val="2101294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AOV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979352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AOV vs. Quarter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'Cohort Analysis'!$I$1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'Cohort Analysis'!$A$2:$A$17</c:f>
            </c:strRef>
          </c:cat>
          <c:val>
            <c:numRef>
              <c:f>'Cohort Analysis'!$I$2:$I$17</c:f>
              <c:numCache/>
            </c:numRef>
          </c:val>
          <c:smooth val="0"/>
        </c:ser>
        <c:axId val="791977539"/>
        <c:axId val="848244385"/>
      </c:lineChart>
      <c:catAx>
        <c:axId val="7919775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8244385"/>
      </c:catAx>
      <c:valAx>
        <c:axId val="8482443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AOV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19775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Q3 2016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'3 Cohort Analysis'!$A$40:$A$53</c:f>
            </c:strRef>
          </c:cat>
          <c:val>
            <c:numRef>
              <c:f>'3 Cohort Analysis'!$B$40:$B$53</c:f>
              <c:numCache/>
            </c:numRef>
          </c:val>
          <c:smooth val="0"/>
        </c:ser>
        <c:ser>
          <c:idx val="1"/>
          <c:order val="1"/>
          <c:tx>
            <c:v>Q4 2016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'3 Cohort Analysis'!$A$40:$A$53</c:f>
            </c:strRef>
          </c:cat>
          <c:val>
            <c:numRef>
              <c:f>'3 Cohort Analysis'!$C$40:$C$53</c:f>
              <c:numCache/>
            </c:numRef>
          </c:val>
          <c:smooth val="0"/>
        </c:ser>
        <c:ser>
          <c:idx val="2"/>
          <c:order val="2"/>
          <c:tx>
            <c:v>Q4 2017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'3 Cohort Analysis'!$A$40:$A$53</c:f>
            </c:strRef>
          </c:cat>
          <c:val>
            <c:numRef>
              <c:f>'3 Cohort Analysis'!$D$40:$D$53</c:f>
              <c:numCache/>
            </c:numRef>
          </c:val>
          <c:smooth val="0"/>
        </c:ser>
        <c:axId val="1115882319"/>
        <c:axId val="1862833837"/>
      </c:lineChart>
      <c:catAx>
        <c:axId val="11158823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62833837"/>
      </c:catAx>
      <c:valAx>
        <c:axId val="1862833837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% Active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15882319"/>
        <c:majorUnit val="0.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Q3 2016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'3 Cohort Analysis'!$A$40:$A$53</c:f>
            </c:strRef>
          </c:cat>
          <c:val>
            <c:numRef>
              <c:f>'3 Cohort Analysis'!$E$40:$E$53</c:f>
              <c:numCache/>
            </c:numRef>
          </c:val>
          <c:smooth val="0"/>
        </c:ser>
        <c:ser>
          <c:idx val="1"/>
          <c:order val="1"/>
          <c:tx>
            <c:v>Q4 2016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'3 Cohort Analysis'!$A$40:$A$53</c:f>
            </c:strRef>
          </c:cat>
          <c:val>
            <c:numRef>
              <c:f>'3 Cohort Analysis'!$F$40:$F$53</c:f>
              <c:numCache/>
            </c:numRef>
          </c:val>
          <c:smooth val="0"/>
        </c:ser>
        <c:ser>
          <c:idx val="2"/>
          <c:order val="2"/>
          <c:tx>
            <c:v>Q4 2017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'3 Cohort Analysis'!$A$40:$A$53</c:f>
            </c:strRef>
          </c:cat>
          <c:val>
            <c:numRef>
              <c:f>'3 Cohort Analysis'!$G$40:$G$53</c:f>
              <c:numCache/>
            </c:numRef>
          </c:val>
          <c:smooth val="0"/>
        </c:ser>
        <c:axId val="385877257"/>
        <c:axId val="1061321143"/>
      </c:lineChart>
      <c:catAx>
        <c:axId val="3858772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61321143"/>
      </c:catAx>
      <c:valAx>
        <c:axId val="1061321143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Avg spend/active customer</a:t>
                </a:r>
              </a:p>
            </c:rich>
          </c:tx>
          <c:overlay val="0"/>
        </c:title>
        <c:numFmt formatCode="[$$-409]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8587725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Q3 2016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'3 Cohort Analysis'!$A$40:$A$53</c:f>
            </c:strRef>
          </c:cat>
          <c:val>
            <c:numRef>
              <c:f>'3 Cohort Analysis'!$H$40:$H$53</c:f>
              <c:numCache/>
            </c:numRef>
          </c:val>
          <c:smooth val="0"/>
        </c:ser>
        <c:ser>
          <c:idx val="1"/>
          <c:order val="1"/>
          <c:tx>
            <c:v>Q4 2016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'3 Cohort Analysis'!$A$40:$A$53</c:f>
            </c:strRef>
          </c:cat>
          <c:val>
            <c:numRef>
              <c:f>'3 Cohort Analysis'!$I$40:$I$53</c:f>
              <c:numCache/>
            </c:numRef>
          </c:val>
          <c:smooth val="0"/>
        </c:ser>
        <c:ser>
          <c:idx val="2"/>
          <c:order val="2"/>
          <c:tx>
            <c:v>Q4 2017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'3 Cohort Analysis'!$A$40:$A$53</c:f>
            </c:strRef>
          </c:cat>
          <c:val>
            <c:numRef>
              <c:f>'3 Cohort Analysis'!$J$40:$J$53</c:f>
              <c:numCache/>
            </c:numRef>
          </c:val>
          <c:smooth val="0"/>
        </c:ser>
        <c:axId val="1197833435"/>
        <c:axId val="955266913"/>
      </c:lineChart>
      <c:catAx>
        <c:axId val="11978334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55266913"/>
      </c:catAx>
      <c:valAx>
        <c:axId val="9552669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AOV</a:t>
                </a:r>
              </a:p>
            </c:rich>
          </c:tx>
          <c:overlay val="0"/>
        </c:title>
        <c:numFmt formatCode="[$$-409]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9783343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Annual Revenue Trend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'Yearly Summaries'!$B$2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'Yearly Summaries'!$A$3:$A$7</c:f>
            </c:strRef>
          </c:cat>
          <c:val>
            <c:numRef>
              <c:f>'Yearly Summaries'!$B$3:$B$7</c:f>
              <c:numCache/>
            </c:numRef>
          </c:val>
        </c:ser>
        <c:ser>
          <c:idx val="1"/>
          <c:order val="1"/>
          <c:tx>
            <c:strRef>
              <c:f>'Yearly Summaries'!$C$2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'Yearly Summaries'!$A$3:$A$7</c:f>
            </c:strRef>
          </c:cat>
          <c:val>
            <c:numRef>
              <c:f>'Yearly Summaries'!$C$3:$C$7</c:f>
              <c:numCache/>
            </c:numRef>
          </c:val>
        </c:ser>
        <c:ser>
          <c:idx val="2"/>
          <c:order val="2"/>
          <c:tx>
            <c:strRef>
              <c:f>'Yearly Summaries'!$D$2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'Yearly Summaries'!$A$3:$A$7</c:f>
            </c:strRef>
          </c:cat>
          <c:val>
            <c:numRef>
              <c:f>'Yearly Summaries'!$D$3:$D$7</c:f>
              <c:numCache/>
            </c:numRef>
          </c:val>
        </c:ser>
        <c:ser>
          <c:idx val="3"/>
          <c:order val="3"/>
          <c:tx>
            <c:strRef>
              <c:f>'Yearly Summaries'!$E$2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'Yearly Summaries'!$A$3:$A$7</c:f>
            </c:strRef>
          </c:cat>
          <c:val>
            <c:numRef>
              <c:f>'Yearly Summaries'!$E$3:$E$7</c:f>
              <c:numCache/>
            </c:numRef>
          </c:val>
        </c:ser>
        <c:overlap val="100"/>
        <c:axId val="2083937556"/>
        <c:axId val="802900001"/>
      </c:barChart>
      <c:catAx>
        <c:axId val="208393755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2900001"/>
      </c:catAx>
      <c:valAx>
        <c:axId val="80290000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393755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Annual Profit Trend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'Yearly Summaries'!$B$10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'Yearly Summaries'!$A$11:$A$15</c:f>
            </c:strRef>
          </c:cat>
          <c:val>
            <c:numRef>
              <c:f>'Yearly Summaries'!$B$11:$B$15</c:f>
              <c:numCache/>
            </c:numRef>
          </c:val>
          <c:smooth val="0"/>
        </c:ser>
        <c:ser>
          <c:idx val="1"/>
          <c:order val="1"/>
          <c:tx>
            <c:strRef>
              <c:f>'Yearly Summaries'!$C$10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'Yearly Summaries'!$A$11:$A$15</c:f>
            </c:strRef>
          </c:cat>
          <c:val>
            <c:numRef>
              <c:f>'Yearly Summaries'!$C$11:$C$15</c:f>
              <c:numCache/>
            </c:numRef>
          </c:val>
          <c:smooth val="0"/>
        </c:ser>
        <c:ser>
          <c:idx val="2"/>
          <c:order val="2"/>
          <c:tx>
            <c:strRef>
              <c:f>'Yearly Summaries'!$D$10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'Yearly Summaries'!$A$11:$A$15</c:f>
            </c:strRef>
          </c:cat>
          <c:val>
            <c:numRef>
              <c:f>'Yearly Summaries'!$D$11:$D$15</c:f>
              <c:numCache/>
            </c:numRef>
          </c:val>
          <c:smooth val="0"/>
        </c:ser>
        <c:ser>
          <c:idx val="3"/>
          <c:order val="3"/>
          <c:tx>
            <c:strRef>
              <c:f>'Yearly Summaries'!$E$10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'Yearly Summaries'!$A$11:$A$15</c:f>
            </c:strRef>
          </c:cat>
          <c:val>
            <c:numRef>
              <c:f>'Yearly Summaries'!$E$11:$E$15</c:f>
              <c:numCache/>
            </c:numRef>
          </c:val>
          <c:smooth val="0"/>
        </c:ser>
        <c:axId val="1653874685"/>
        <c:axId val="280015240"/>
      </c:lineChart>
      <c:catAx>
        <c:axId val="16538746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Pre-2021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0015240"/>
      </c:catAx>
      <c:valAx>
        <c:axId val="2800152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38746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Customers Trend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'Yearly Summaries'!$B$18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'Yearly Summaries'!$A$19:$A$23</c:f>
            </c:strRef>
          </c:cat>
          <c:val>
            <c:numRef>
              <c:f>'Yearly Summaries'!$B$19:$B$23</c:f>
              <c:numCache/>
            </c:numRef>
          </c:val>
          <c:smooth val="0"/>
        </c:ser>
        <c:ser>
          <c:idx val="1"/>
          <c:order val="1"/>
          <c:tx>
            <c:strRef>
              <c:f>'Yearly Summaries'!$C$18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'Yearly Summaries'!$A$19:$A$23</c:f>
            </c:strRef>
          </c:cat>
          <c:val>
            <c:numRef>
              <c:f>'Yearly Summaries'!$C$19:$C$23</c:f>
              <c:numCache/>
            </c:numRef>
          </c:val>
          <c:smooth val="0"/>
        </c:ser>
        <c:ser>
          <c:idx val="2"/>
          <c:order val="2"/>
          <c:tx>
            <c:strRef>
              <c:f>'Yearly Summaries'!$D$18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'Yearly Summaries'!$A$19:$A$23</c:f>
            </c:strRef>
          </c:cat>
          <c:val>
            <c:numRef>
              <c:f>'Yearly Summaries'!$D$19:$D$23</c:f>
              <c:numCache/>
            </c:numRef>
          </c:val>
          <c:smooth val="0"/>
        </c:ser>
        <c:ser>
          <c:idx val="3"/>
          <c:order val="3"/>
          <c:tx>
            <c:strRef>
              <c:f>'Yearly Summaries'!$E$18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'Yearly Summaries'!$A$19:$A$23</c:f>
            </c:strRef>
          </c:cat>
          <c:val>
            <c:numRef>
              <c:f>'Yearly Summaries'!$E$19:$E$23</c:f>
              <c:numCache/>
            </c:numRef>
          </c:val>
          <c:smooth val="0"/>
        </c:ser>
        <c:axId val="642637789"/>
        <c:axId val="822799650"/>
      </c:lineChart>
      <c:catAx>
        <c:axId val="6426377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Pre-2021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2799650"/>
      </c:catAx>
      <c:valAx>
        <c:axId val="8227996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26377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Relationship Id="rId3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628650</xdr:colOff>
      <xdr:row>15</xdr:row>
      <xdr:rowOff>0</xdr:rowOff>
    </xdr:from>
    <xdr:ext cx="4333875" cy="26574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276225</xdr:colOff>
      <xdr:row>15</xdr:row>
      <xdr:rowOff>66675</xdr:rowOff>
    </xdr:from>
    <xdr:ext cx="4333875" cy="26574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295275</xdr:colOff>
      <xdr:row>1</xdr:row>
      <xdr:rowOff>114300</xdr:rowOff>
    </xdr:from>
    <xdr:ext cx="4333875" cy="26574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323850</xdr:colOff>
      <xdr:row>15</xdr:row>
      <xdr:rowOff>66675</xdr:rowOff>
    </xdr:from>
    <xdr:ext cx="4333875" cy="26574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18</xdr:row>
      <xdr:rowOff>38100</xdr:rowOff>
    </xdr:from>
    <xdr:ext cx="4581525" cy="28384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36</xdr:row>
      <xdr:rowOff>95250</xdr:rowOff>
    </xdr:from>
    <xdr:ext cx="4581525" cy="30003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409575</xdr:colOff>
      <xdr:row>17</xdr:row>
      <xdr:rowOff>171450</xdr:rowOff>
    </xdr:from>
    <xdr:ext cx="4581525" cy="63722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590550</xdr:colOff>
      <xdr:row>0</xdr:row>
      <xdr:rowOff>361950</xdr:rowOff>
    </xdr:from>
    <xdr:ext cx="4524375" cy="280035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552450</xdr:colOff>
      <xdr:row>39</xdr:row>
      <xdr:rowOff>152400</xdr:rowOff>
    </xdr:from>
    <xdr:ext cx="4638675" cy="26765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18</xdr:col>
      <xdr:colOff>38100</xdr:colOff>
      <xdr:row>38</xdr:row>
      <xdr:rowOff>219075</xdr:rowOff>
    </xdr:from>
    <xdr:ext cx="4400550" cy="267652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25</xdr:col>
      <xdr:colOff>0</xdr:colOff>
      <xdr:row>39</xdr:row>
      <xdr:rowOff>0</xdr:rowOff>
    </xdr:from>
    <xdr:ext cx="4352925" cy="2667000"/>
    <xdr:graphicFrame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47625</xdr:colOff>
      <xdr:row>0</xdr:row>
      <xdr:rowOff>0</xdr:rowOff>
    </xdr:from>
    <xdr:ext cx="5095875" cy="22383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47625</xdr:colOff>
      <xdr:row>10</xdr:row>
      <xdr:rowOff>133350</xdr:rowOff>
    </xdr:from>
    <xdr:ext cx="5095875" cy="244792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47625</xdr:colOff>
      <xdr:row>22</xdr:row>
      <xdr:rowOff>47625</xdr:rowOff>
    </xdr:from>
    <xdr:ext cx="5095875" cy="29241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6x8zlfdKSDrt8KCRVrkRtkOdrEvM_DMxIaDW7Ubr9Vc/edit?gid=353029270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0.13"/>
    <col customWidth="1" min="3" max="3" width="14.38"/>
    <col customWidth="1" min="4" max="4" width="11.5"/>
    <col customWidth="1" min="5" max="5" width="16.13"/>
    <col customWidth="1" min="6" max="6" width="12.13"/>
    <col customWidth="1" min="7" max="7" width="11.75"/>
    <col customWidth="1" min="8" max="9" width="7.75"/>
    <col customWidth="1" min="10" max="11" width="13.5"/>
    <col customWidth="1" min="12" max="28" width="7.75"/>
  </cols>
  <sheetData>
    <row r="1" ht="14.25" customHeight="1">
      <c r="A1" s="1"/>
      <c r="B1" s="1"/>
      <c r="C1" s="1"/>
      <c r="D1" s="1"/>
      <c r="E1" s="1"/>
      <c r="F1" s="2" t="s">
        <v>0</v>
      </c>
      <c r="G1" s="3"/>
      <c r="H1" s="3"/>
      <c r="I1" s="1"/>
      <c r="J1" s="1"/>
      <c r="K1" s="4"/>
      <c r="L1" s="4"/>
      <c r="M1" s="4"/>
      <c r="N1" s="4"/>
      <c r="O1" s="4"/>
    </row>
    <row r="2" ht="14.2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2</v>
      </c>
      <c r="G2" s="8" t="s">
        <v>3</v>
      </c>
      <c r="H2" s="9" t="s">
        <v>4</v>
      </c>
      <c r="I2" s="10" t="s">
        <v>5</v>
      </c>
      <c r="J2" s="11" t="s">
        <v>6</v>
      </c>
      <c r="K2" s="12" t="s">
        <v>7</v>
      </c>
      <c r="L2" s="12" t="s">
        <v>8</v>
      </c>
      <c r="M2" s="12" t="s">
        <v>9</v>
      </c>
      <c r="N2" s="12" t="s">
        <v>10</v>
      </c>
      <c r="O2" s="4"/>
    </row>
    <row r="3" ht="14.25" customHeight="1">
      <c r="A3" s="13">
        <v>1.0</v>
      </c>
      <c r="B3" s="14">
        <v>3180.0</v>
      </c>
      <c r="C3" s="14">
        <v>17503.0</v>
      </c>
      <c r="D3" s="14">
        <v>1.28952505E8</v>
      </c>
      <c r="E3" s="14">
        <v>6.2160175E7</v>
      </c>
      <c r="F3" s="15">
        <f t="shared" ref="F3:I3" si="1">B3/B$13</f>
        <v>0.1000094349</v>
      </c>
      <c r="G3" s="16">
        <f t="shared" si="1"/>
        <v>0.2857166177</v>
      </c>
      <c r="H3" s="16">
        <f t="shared" si="1"/>
        <v>0.3960449742</v>
      </c>
      <c r="I3" s="16">
        <f t="shared" si="1"/>
        <v>0.3984214517</v>
      </c>
      <c r="J3" s="17">
        <f t="shared" ref="J3:J12" si="3">D3/B3</f>
        <v>40551.1022</v>
      </c>
      <c r="K3" s="17">
        <f>E3/B3</f>
        <v>19547.22484</v>
      </c>
      <c r="L3" s="18">
        <f t="shared" ref="L3:L4" si="4">C3/B3</f>
        <v>5.50408805</v>
      </c>
      <c r="M3" s="19">
        <v>7367.45157972919</v>
      </c>
      <c r="N3" s="20">
        <v>0.48203929811212276</v>
      </c>
      <c r="O3" s="4"/>
    </row>
    <row r="4" ht="14.25" customHeight="1">
      <c r="A4" s="21">
        <v>2.0</v>
      </c>
      <c r="B4" s="22">
        <v>3180.0</v>
      </c>
      <c r="C4" s="22">
        <v>8703.0</v>
      </c>
      <c r="D4" s="22">
        <v>5.5542905E7</v>
      </c>
      <c r="E4" s="22">
        <v>2.707903E7</v>
      </c>
      <c r="F4" s="15">
        <f t="shared" ref="F4:I4" si="2">B4/B$13</f>
        <v>0.1000094349</v>
      </c>
      <c r="G4" s="16">
        <f t="shared" si="2"/>
        <v>0.1420666014</v>
      </c>
      <c r="H4" s="16">
        <f t="shared" si="2"/>
        <v>0.1705859718</v>
      </c>
      <c r="I4" s="16">
        <f t="shared" si="2"/>
        <v>0.1735655738</v>
      </c>
      <c r="J4" s="17">
        <f t="shared" si="3"/>
        <v>17466.32233</v>
      </c>
      <c r="K4" s="17">
        <v>8515.41823899371</v>
      </c>
      <c r="L4" s="18">
        <f t="shared" si="4"/>
        <v>2.736792453</v>
      </c>
      <c r="M4" s="19">
        <v>6382.0412501436285</v>
      </c>
      <c r="N4" s="20">
        <v>0.48753355626609735</v>
      </c>
      <c r="O4" s="4"/>
    </row>
    <row r="5" ht="14.25" customHeight="1">
      <c r="A5" s="13">
        <v>3.0</v>
      </c>
      <c r="B5" s="14">
        <v>3177.0</v>
      </c>
      <c r="C5" s="14">
        <v>6345.0</v>
      </c>
      <c r="D5" s="14">
        <v>3.8274225E7</v>
      </c>
      <c r="E5" s="14">
        <v>1.8722055E7</v>
      </c>
      <c r="F5" s="15">
        <f t="shared" ref="F5:I5" si="5">B5/B$13</f>
        <v>0.09991508633</v>
      </c>
      <c r="G5" s="16">
        <f t="shared" si="5"/>
        <v>0.1035749265</v>
      </c>
      <c r="H5" s="16">
        <f t="shared" si="5"/>
        <v>0.1175495928</v>
      </c>
      <c r="I5" s="16">
        <f t="shared" si="5"/>
        <v>0.1200007615</v>
      </c>
      <c r="J5" s="17">
        <f t="shared" si="3"/>
        <v>12047.28517</v>
      </c>
      <c r="K5" s="17">
        <v>5892.9981114258735</v>
      </c>
      <c r="L5" s="18">
        <v>1.9971671388101984</v>
      </c>
      <c r="M5" s="19">
        <v>6032.1867612293145</v>
      </c>
      <c r="N5" s="20">
        <v>0.4891556915914039</v>
      </c>
      <c r="O5" s="4"/>
    </row>
    <row r="6" ht="14.25" customHeight="1">
      <c r="A6" s="13">
        <v>4.0</v>
      </c>
      <c r="B6" s="14">
        <v>3178.0</v>
      </c>
      <c r="C6" s="14">
        <v>5349.0</v>
      </c>
      <c r="D6" s="14">
        <v>2.901701E7</v>
      </c>
      <c r="E6" s="14">
        <v>1.3916595E7</v>
      </c>
      <c r="F6" s="15">
        <f t="shared" ref="F6:I6" si="6">B6/B$13</f>
        <v>0.09994653584</v>
      </c>
      <c r="G6" s="16">
        <f t="shared" si="6"/>
        <v>0.08731635651</v>
      </c>
      <c r="H6" s="16">
        <f t="shared" si="6"/>
        <v>0.08911840044</v>
      </c>
      <c r="I6" s="16">
        <f t="shared" si="6"/>
        <v>0.08919971643</v>
      </c>
      <c r="J6" s="17">
        <f t="shared" si="3"/>
        <v>9130.58842</v>
      </c>
      <c r="K6" s="17">
        <v>4379.041850220265</v>
      </c>
      <c r="L6" s="18">
        <v>1.6831340465701699</v>
      </c>
      <c r="M6" s="19">
        <v>5424.75415965601</v>
      </c>
      <c r="N6" s="20">
        <v>0.47960127525199875</v>
      </c>
      <c r="O6" s="4"/>
    </row>
    <row r="7" ht="14.25" customHeight="1">
      <c r="A7" s="13">
        <v>5.0</v>
      </c>
      <c r="B7" s="14">
        <v>3183.0</v>
      </c>
      <c r="C7" s="14">
        <v>4683.0</v>
      </c>
      <c r="D7" s="14">
        <v>2.2555225E7</v>
      </c>
      <c r="E7" s="14">
        <v>1.0734405E7</v>
      </c>
      <c r="F7" s="15">
        <f t="shared" ref="F7:I7" si="7">B7/B$13</f>
        <v>0.1001037834</v>
      </c>
      <c r="G7" s="16">
        <f t="shared" si="7"/>
        <v>0.0764446621</v>
      </c>
      <c r="H7" s="16">
        <f t="shared" si="7"/>
        <v>0.06927266364</v>
      </c>
      <c r="I7" s="16">
        <f t="shared" si="7"/>
        <v>0.06880317218</v>
      </c>
      <c r="J7" s="17">
        <f t="shared" si="3"/>
        <v>7086.153</v>
      </c>
      <c r="K7" s="17">
        <v>3372.4175306314796</v>
      </c>
      <c r="L7" s="18">
        <v>1.471253534401508</v>
      </c>
      <c r="M7" s="19">
        <v>4816.405082212257</v>
      </c>
      <c r="N7" s="20">
        <v>0.4759165559199698</v>
      </c>
      <c r="O7" s="4"/>
    </row>
    <row r="8" ht="14.25" customHeight="1">
      <c r="A8" s="13">
        <v>6.0</v>
      </c>
      <c r="B8" s="14">
        <v>3124.0</v>
      </c>
      <c r="C8" s="14">
        <v>4330.0</v>
      </c>
      <c r="D8" s="14">
        <v>1.7169955E7</v>
      </c>
      <c r="E8" s="14">
        <v>7948270.0</v>
      </c>
      <c r="F8" s="15">
        <f t="shared" ref="F8:I8" si="8">B8/B$13</f>
        <v>0.09824826241</v>
      </c>
      <c r="G8" s="16">
        <f t="shared" si="8"/>
        <v>0.07068233758</v>
      </c>
      <c r="H8" s="16">
        <f t="shared" si="8"/>
        <v>0.05273317014</v>
      </c>
      <c r="I8" s="16">
        <f t="shared" si="8"/>
        <v>0.05094517948</v>
      </c>
      <c r="J8" s="23">
        <f t="shared" si="3"/>
        <v>5496.144366</v>
      </c>
      <c r="K8" s="23">
        <v>2544.260563380282</v>
      </c>
      <c r="L8" s="24">
        <v>1.3860435339308579</v>
      </c>
      <c r="M8" s="25">
        <v>3965.347575057737</v>
      </c>
      <c r="N8" s="26">
        <v>0.46291734602682416</v>
      </c>
      <c r="O8" s="4"/>
    </row>
    <row r="9" ht="14.25" customHeight="1">
      <c r="A9" s="13">
        <v>7.0</v>
      </c>
      <c r="B9" s="14">
        <v>3233.0</v>
      </c>
      <c r="C9" s="14">
        <v>4004.0</v>
      </c>
      <c r="D9" s="14">
        <v>1.347071E7</v>
      </c>
      <c r="E9" s="14">
        <v>6240025.0</v>
      </c>
      <c r="F9" s="15">
        <f t="shared" ref="F9:I9" si="9">B9/B$13</f>
        <v>0.1016762588</v>
      </c>
      <c r="G9" s="16">
        <f t="shared" si="9"/>
        <v>0.06536075743</v>
      </c>
      <c r="H9" s="16">
        <f t="shared" si="9"/>
        <v>0.0413718756</v>
      </c>
      <c r="I9" s="16">
        <f t="shared" si="9"/>
        <v>0.03999602349</v>
      </c>
      <c r="J9" s="23">
        <f t="shared" si="3"/>
        <v>4166.628518</v>
      </c>
      <c r="K9" s="23">
        <v>1930.1036189297865</v>
      </c>
      <c r="L9" s="24">
        <v>1.238478193628209</v>
      </c>
      <c r="M9" s="25">
        <v>3364.313186813187</v>
      </c>
      <c r="N9" s="26">
        <v>0.4632291096757335</v>
      </c>
      <c r="O9" s="4"/>
    </row>
    <row r="10" ht="14.25" customHeight="1">
      <c r="A10" s="13">
        <v>8.0</v>
      </c>
      <c r="B10" s="14">
        <v>2996.0</v>
      </c>
      <c r="C10" s="14">
        <v>3414.0</v>
      </c>
      <c r="D10" s="14">
        <v>9381075.0</v>
      </c>
      <c r="E10" s="14">
        <v>4326685.0</v>
      </c>
      <c r="F10" s="15">
        <f t="shared" ref="F10:I10" si="10">B10/B$13</f>
        <v>0.09422272541</v>
      </c>
      <c r="G10" s="16">
        <f t="shared" si="10"/>
        <v>0.05572967679</v>
      </c>
      <c r="H10" s="16">
        <f t="shared" si="10"/>
        <v>0.028811597</v>
      </c>
      <c r="I10" s="16">
        <f t="shared" si="10"/>
        <v>0.02773229192</v>
      </c>
      <c r="J10" s="23">
        <f t="shared" si="3"/>
        <v>3131.199933</v>
      </c>
      <c r="K10" s="23">
        <v>1444.1538718291056</v>
      </c>
      <c r="L10" s="24">
        <v>1.1395193591455273</v>
      </c>
      <c r="M10" s="25">
        <v>2747.8251318101934</v>
      </c>
      <c r="N10" s="26">
        <v>0.46121419986515405</v>
      </c>
      <c r="O10" s="4"/>
    </row>
    <row r="11" ht="14.25" customHeight="1">
      <c r="A11" s="13">
        <v>9.0</v>
      </c>
      <c r="B11" s="14">
        <v>3360.0</v>
      </c>
      <c r="C11" s="14">
        <v>3659.0</v>
      </c>
      <c r="D11" s="14">
        <v>7496500.0</v>
      </c>
      <c r="E11" s="14">
        <v>3334100.0</v>
      </c>
      <c r="F11" s="15">
        <f t="shared" ref="F11:I11" si="11">B11/B$13</f>
        <v>0.1056703463</v>
      </c>
      <c r="G11" s="16">
        <f t="shared" si="11"/>
        <v>0.05972902383</v>
      </c>
      <c r="H11" s="16">
        <f t="shared" si="11"/>
        <v>0.02302360198</v>
      </c>
      <c r="I11" s="16">
        <f t="shared" si="11"/>
        <v>0.02137022559</v>
      </c>
      <c r="J11" s="23">
        <f t="shared" si="3"/>
        <v>2231.10119</v>
      </c>
      <c r="K11" s="23">
        <v>992.2916666666666</v>
      </c>
      <c r="L11" s="24">
        <v>1.0889880952380953</v>
      </c>
      <c r="M11" s="25">
        <v>2048.7838207160426</v>
      </c>
      <c r="N11" s="26">
        <v>0.4447542186353632</v>
      </c>
      <c r="O11" s="4"/>
    </row>
    <row r="12" ht="14.25" customHeight="1">
      <c r="A12" s="13">
        <v>10.0</v>
      </c>
      <c r="B12" s="14">
        <v>3186.0</v>
      </c>
      <c r="C12" s="14">
        <v>3270.0</v>
      </c>
      <c r="D12" s="14">
        <v>3740550.0</v>
      </c>
      <c r="E12" s="14">
        <v>1554795.0</v>
      </c>
      <c r="F12" s="15">
        <f t="shared" ref="F12:I12" si="12">B12/B$13</f>
        <v>0.1001981319</v>
      </c>
      <c r="G12" s="16">
        <f t="shared" si="12"/>
        <v>0.05337904016</v>
      </c>
      <c r="H12" s="16">
        <f t="shared" si="12"/>
        <v>0.01148815239</v>
      </c>
      <c r="I12" s="16">
        <f t="shared" si="12"/>
        <v>0.009965603878</v>
      </c>
      <c r="J12" s="27">
        <f t="shared" si="3"/>
        <v>1174.05838</v>
      </c>
      <c r="K12" s="27">
        <v>488.00847457627117</v>
      </c>
      <c r="L12" s="28">
        <v>1.0263653483992468</v>
      </c>
      <c r="M12" s="29">
        <v>1143.8990825688074</v>
      </c>
      <c r="N12" s="30">
        <v>0.4156594618438465</v>
      </c>
      <c r="O12" s="4"/>
    </row>
    <row r="13" ht="14.25" customHeight="1">
      <c r="A13" s="31" t="s">
        <v>11</v>
      </c>
      <c r="B13" s="32">
        <f t="shared" ref="B13:I13" si="13">SUM(B3:B12)</f>
        <v>31797</v>
      </c>
      <c r="C13" s="32">
        <f t="shared" si="13"/>
        <v>61260</v>
      </c>
      <c r="D13" s="32">
        <f t="shared" si="13"/>
        <v>325600660</v>
      </c>
      <c r="E13" s="32">
        <f t="shared" si="13"/>
        <v>156016135</v>
      </c>
      <c r="F13" s="16">
        <f t="shared" si="13"/>
        <v>1</v>
      </c>
      <c r="G13" s="16">
        <f t="shared" si="13"/>
        <v>1</v>
      </c>
      <c r="H13" s="16">
        <f t="shared" si="13"/>
        <v>1</v>
      </c>
      <c r="I13" s="16">
        <f t="shared" si="13"/>
        <v>1</v>
      </c>
      <c r="J13" s="33"/>
      <c r="K13" s="34">
        <v>4906.630656980218</v>
      </c>
      <c r="L13" s="35">
        <v>1.926596848759317</v>
      </c>
      <c r="M13" s="36">
        <v>5315.061377734248</v>
      </c>
      <c r="N13" s="15">
        <v>0.4791640625052787</v>
      </c>
      <c r="O13" s="4"/>
    </row>
    <row r="14" ht="14.25" customHeight="1">
      <c r="A14" s="37"/>
      <c r="B14" s="37"/>
      <c r="C14" s="37"/>
      <c r="D14" s="37"/>
      <c r="E14" s="37"/>
      <c r="F14" s="2"/>
      <c r="G14" s="3"/>
      <c r="H14" s="3"/>
      <c r="I14" s="4"/>
      <c r="J14" s="4"/>
      <c r="K14" s="4"/>
      <c r="L14" s="4"/>
      <c r="M14" s="4"/>
      <c r="N14" s="4"/>
      <c r="O14" s="4"/>
    </row>
    <row r="15" ht="14.25" customHeight="1">
      <c r="A15" s="1"/>
      <c r="B15" s="38"/>
      <c r="C15" s="38"/>
      <c r="D15" s="38"/>
      <c r="E15" s="38"/>
      <c r="F15" s="2"/>
      <c r="G15" s="3"/>
      <c r="H15" s="3"/>
      <c r="I15" s="39"/>
      <c r="J15" s="38"/>
      <c r="K15" s="4"/>
      <c r="L15" s="4"/>
      <c r="M15" s="4"/>
      <c r="N15" s="4"/>
      <c r="O15" s="4"/>
    </row>
    <row r="16" ht="14.25" customHeight="1">
      <c r="A16" s="1"/>
      <c r="B16" s="38"/>
      <c r="C16" s="38"/>
      <c r="D16" s="38"/>
      <c r="E16" s="38"/>
      <c r="F16" s="2"/>
      <c r="G16" s="3"/>
      <c r="H16" s="3"/>
      <c r="I16" s="39"/>
      <c r="J16" s="38"/>
      <c r="K16" s="4"/>
      <c r="L16" s="4"/>
      <c r="M16" s="4"/>
      <c r="N16" s="4"/>
      <c r="O16" s="4"/>
    </row>
    <row r="17" ht="14.25" customHeight="1">
      <c r="A17" s="1"/>
      <c r="B17" s="38"/>
      <c r="C17" s="38"/>
      <c r="D17" s="38"/>
      <c r="E17" s="38"/>
      <c r="F17" s="2"/>
      <c r="G17" s="3"/>
      <c r="H17" s="3"/>
      <c r="I17" s="39"/>
      <c r="J17" s="38"/>
      <c r="K17" s="4"/>
      <c r="L17" s="4"/>
      <c r="M17" s="4"/>
      <c r="N17" s="4"/>
      <c r="O17" s="4"/>
    </row>
    <row r="18" ht="14.25" customHeight="1">
      <c r="A18" s="1"/>
      <c r="B18" s="38"/>
      <c r="C18" s="38"/>
      <c r="D18" s="38"/>
      <c r="E18" s="38"/>
      <c r="F18" s="33"/>
      <c r="G18" s="3"/>
      <c r="H18" s="3"/>
      <c r="I18" s="39"/>
      <c r="J18" s="38"/>
      <c r="K18" s="4"/>
      <c r="L18" s="4"/>
      <c r="M18" s="4"/>
      <c r="N18" s="4"/>
      <c r="O18" s="4"/>
    </row>
    <row r="19" ht="14.25" customHeight="1">
      <c r="A19" s="1"/>
      <c r="B19" s="38"/>
      <c r="C19" s="38"/>
      <c r="D19" s="38"/>
      <c r="E19" s="38"/>
      <c r="F19" s="2"/>
      <c r="G19" s="3"/>
      <c r="H19" s="3"/>
      <c r="I19" s="39"/>
      <c r="J19" s="38"/>
      <c r="K19" s="4"/>
      <c r="L19" s="4"/>
      <c r="M19" s="4"/>
      <c r="N19" s="4"/>
      <c r="O19" s="4"/>
    </row>
    <row r="20" ht="14.25" customHeight="1">
      <c r="A20" s="1"/>
      <c r="B20" s="38"/>
      <c r="C20" s="38"/>
      <c r="D20" s="38"/>
      <c r="E20" s="38"/>
      <c r="F20" s="2"/>
      <c r="G20" s="3"/>
      <c r="H20" s="3"/>
      <c r="I20" s="39"/>
      <c r="J20" s="38"/>
      <c r="K20" s="4"/>
      <c r="L20" s="4"/>
      <c r="M20" s="4"/>
      <c r="N20" s="4"/>
      <c r="O20" s="4"/>
    </row>
    <row r="21" ht="14.25" customHeight="1">
      <c r="A21" s="1"/>
      <c r="B21" s="38"/>
      <c r="C21" s="38"/>
      <c r="D21" s="38"/>
      <c r="E21" s="38"/>
      <c r="F21" s="2"/>
      <c r="G21" s="3"/>
      <c r="H21" s="3"/>
      <c r="I21" s="39"/>
      <c r="J21" s="38"/>
      <c r="K21" s="4"/>
      <c r="L21" s="4"/>
      <c r="M21" s="4"/>
      <c r="N21" s="4"/>
      <c r="O21" s="4"/>
    </row>
    <row r="22" ht="14.25" customHeight="1">
      <c r="A22" s="1"/>
      <c r="B22" s="38"/>
      <c r="C22" s="38"/>
      <c r="D22" s="38"/>
      <c r="E22" s="38"/>
      <c r="F22" s="2"/>
      <c r="G22" s="3"/>
      <c r="H22" s="3"/>
      <c r="I22" s="39"/>
      <c r="J22" s="38"/>
      <c r="K22" s="4"/>
      <c r="L22" s="4"/>
      <c r="M22" s="4"/>
      <c r="N22" s="4"/>
      <c r="O22" s="4"/>
    </row>
    <row r="23" ht="14.25" customHeight="1">
      <c r="A23" s="1"/>
      <c r="B23" s="38"/>
      <c r="C23" s="38"/>
      <c r="D23" s="38"/>
      <c r="E23" s="38"/>
      <c r="F23" s="2"/>
      <c r="G23" s="3"/>
      <c r="H23" s="3"/>
      <c r="I23" s="39"/>
      <c r="J23" s="38"/>
      <c r="K23" s="4"/>
      <c r="L23" s="4"/>
      <c r="M23" s="4"/>
      <c r="N23" s="4"/>
      <c r="O23" s="4"/>
    </row>
    <row r="24" ht="14.25" customHeight="1">
      <c r="A24" s="4"/>
      <c r="B24" s="4"/>
      <c r="C24" s="4"/>
      <c r="D24" s="4"/>
      <c r="E24" s="4"/>
      <c r="F24" s="2"/>
      <c r="G24" s="3"/>
      <c r="H24" s="3"/>
      <c r="I24" s="39"/>
      <c r="J24" s="38"/>
      <c r="K24" s="4"/>
      <c r="L24" s="4"/>
      <c r="M24" s="4"/>
      <c r="N24" s="4"/>
      <c r="O24" s="4"/>
    </row>
    <row r="25" ht="14.25" customHeight="1">
      <c r="A25" s="4"/>
      <c r="B25" s="4"/>
      <c r="C25" s="4"/>
      <c r="D25" s="4"/>
      <c r="E25" s="4"/>
      <c r="F25" s="2"/>
      <c r="G25" s="3"/>
      <c r="H25" s="3"/>
      <c r="I25" s="4"/>
      <c r="J25" s="4"/>
      <c r="K25" s="4"/>
      <c r="L25" s="4"/>
      <c r="M25" s="4"/>
      <c r="N25" s="4"/>
      <c r="O25" s="4"/>
    </row>
    <row r="26" ht="14.25" customHeight="1">
      <c r="A26" s="4"/>
      <c r="B26" s="4"/>
      <c r="C26" s="4"/>
      <c r="D26" s="4"/>
      <c r="E26" s="4"/>
      <c r="F26" s="2"/>
      <c r="G26" s="3"/>
      <c r="H26" s="3"/>
      <c r="I26" s="4"/>
      <c r="J26" s="4"/>
      <c r="K26" s="4"/>
      <c r="L26" s="4"/>
      <c r="M26" s="4"/>
      <c r="N26" s="4"/>
      <c r="O26" s="4"/>
    </row>
    <row r="27" ht="14.25" customHeight="1">
      <c r="A27" s="4"/>
      <c r="B27" s="4"/>
      <c r="C27" s="4"/>
      <c r="D27" s="4"/>
      <c r="E27" s="4"/>
      <c r="F27" s="2"/>
      <c r="G27" s="3"/>
      <c r="H27" s="3"/>
      <c r="I27" s="4"/>
      <c r="J27" s="4"/>
      <c r="K27" s="4"/>
      <c r="L27" s="4"/>
      <c r="M27" s="4"/>
      <c r="N27" s="4"/>
      <c r="O27" s="4"/>
    </row>
    <row r="28" ht="14.25" customHeight="1">
      <c r="A28" s="4"/>
      <c r="B28" s="4"/>
      <c r="C28" s="4"/>
      <c r="D28" s="4"/>
      <c r="E28" s="4"/>
      <c r="F28" s="2"/>
      <c r="G28" s="3"/>
      <c r="H28" s="3"/>
      <c r="I28" s="4"/>
      <c r="J28" s="4"/>
      <c r="K28" s="4"/>
      <c r="L28" s="4"/>
      <c r="M28" s="4"/>
      <c r="N28" s="4"/>
      <c r="O28" s="4"/>
    </row>
    <row r="29" ht="14.25" customHeight="1">
      <c r="A29" s="4"/>
      <c r="B29" s="4"/>
      <c r="C29" s="4"/>
      <c r="D29" s="4"/>
      <c r="E29" s="4"/>
      <c r="F29" s="2"/>
      <c r="G29" s="3"/>
      <c r="H29" s="3"/>
      <c r="I29" s="4"/>
      <c r="J29" s="4"/>
      <c r="K29" s="4"/>
      <c r="L29" s="4"/>
      <c r="M29" s="4"/>
      <c r="N29" s="4"/>
      <c r="O29" s="4"/>
    </row>
    <row r="30" ht="14.25" customHeight="1">
      <c r="A30" s="4"/>
      <c r="B30" s="4"/>
      <c r="C30" s="4"/>
      <c r="D30" s="4"/>
      <c r="E30" s="4"/>
      <c r="F30" s="2"/>
      <c r="G30" s="3"/>
      <c r="H30" s="3"/>
      <c r="I30" s="4"/>
      <c r="J30" s="4"/>
      <c r="K30" s="4"/>
      <c r="L30" s="4"/>
      <c r="M30" s="4"/>
      <c r="N30" s="4"/>
      <c r="O30" s="4"/>
    </row>
    <row r="31" ht="14.25" customHeight="1">
      <c r="A31" s="4"/>
      <c r="B31" s="4"/>
      <c r="C31" s="4"/>
      <c r="D31" s="4"/>
      <c r="E31" s="4"/>
      <c r="F31" s="2"/>
      <c r="G31" s="3"/>
      <c r="H31" s="3"/>
      <c r="I31" s="4"/>
      <c r="J31" s="4"/>
      <c r="K31" s="4"/>
      <c r="L31" s="4"/>
      <c r="M31" s="4"/>
      <c r="N31" s="4"/>
      <c r="O31" s="4"/>
    </row>
    <row r="32" ht="14.25" customHeight="1">
      <c r="A32" s="4"/>
      <c r="B32" s="4"/>
      <c r="C32" s="4"/>
      <c r="D32" s="4"/>
      <c r="E32" s="4"/>
      <c r="F32" s="2"/>
      <c r="G32" s="3"/>
      <c r="H32" s="3"/>
      <c r="I32" s="4"/>
      <c r="J32" s="4"/>
      <c r="K32" s="4"/>
      <c r="L32" s="4"/>
      <c r="M32" s="4"/>
      <c r="N32" s="4"/>
      <c r="O32" s="4"/>
    </row>
    <row r="33" ht="14.25" customHeight="1">
      <c r="A33" s="4"/>
      <c r="B33" s="4"/>
      <c r="C33" s="4"/>
      <c r="D33" s="4"/>
      <c r="E33" s="4"/>
      <c r="F33" s="2"/>
      <c r="G33" s="3"/>
      <c r="H33" s="3"/>
      <c r="I33" s="4"/>
      <c r="J33" s="4"/>
      <c r="K33" s="4"/>
      <c r="L33" s="4"/>
      <c r="M33" s="4"/>
      <c r="N33" s="4"/>
      <c r="O33" s="4"/>
    </row>
    <row r="34" ht="14.25" customHeight="1">
      <c r="A34" s="4"/>
      <c r="B34" s="4"/>
      <c r="C34" s="4"/>
      <c r="D34" s="4"/>
      <c r="E34" s="4"/>
      <c r="F34" s="2"/>
      <c r="G34" s="3"/>
      <c r="H34" s="3"/>
      <c r="I34" s="4"/>
      <c r="J34" s="4"/>
      <c r="K34" s="4"/>
      <c r="L34" s="4"/>
      <c r="M34" s="4"/>
      <c r="N34" s="4"/>
      <c r="O34" s="4"/>
    </row>
    <row r="35" ht="14.25" customHeight="1">
      <c r="A35" s="4"/>
      <c r="B35" s="4"/>
      <c r="C35" s="4"/>
      <c r="D35" s="4"/>
      <c r="E35" s="4"/>
      <c r="F35" s="2"/>
      <c r="G35" s="3"/>
      <c r="H35" s="3"/>
      <c r="I35" s="4"/>
      <c r="J35" s="4"/>
      <c r="K35" s="4"/>
      <c r="L35" s="4"/>
      <c r="M35" s="4"/>
      <c r="N35" s="4"/>
      <c r="O35" s="4"/>
    </row>
    <row r="36" ht="14.25" customHeight="1">
      <c r="A36" s="4"/>
      <c r="B36" s="4"/>
      <c r="C36" s="4"/>
      <c r="D36" s="4"/>
      <c r="E36" s="4"/>
      <c r="F36" s="2"/>
      <c r="G36" s="3"/>
      <c r="H36" s="3"/>
      <c r="I36" s="4"/>
      <c r="J36" s="4"/>
      <c r="K36" s="4"/>
      <c r="L36" s="4"/>
      <c r="M36" s="4"/>
      <c r="N36" s="4"/>
      <c r="O36" s="4"/>
    </row>
    <row r="37" ht="14.25" customHeight="1">
      <c r="A37" s="4"/>
      <c r="B37" s="4"/>
      <c r="C37" s="4"/>
      <c r="D37" s="4"/>
      <c r="E37" s="4"/>
      <c r="F37" s="2"/>
      <c r="G37" s="3"/>
      <c r="H37" s="3"/>
      <c r="I37" s="4"/>
      <c r="J37" s="4"/>
      <c r="K37" s="4"/>
      <c r="L37" s="4"/>
      <c r="M37" s="4"/>
      <c r="N37" s="4"/>
      <c r="O37" s="4"/>
    </row>
    <row r="38" ht="14.25" customHeight="1">
      <c r="A38" s="4"/>
      <c r="B38" s="4"/>
      <c r="C38" s="4"/>
      <c r="D38" s="4"/>
      <c r="E38" s="4"/>
      <c r="F38" s="2"/>
      <c r="G38" s="3"/>
      <c r="H38" s="3"/>
      <c r="I38" s="4"/>
      <c r="J38" s="4"/>
      <c r="K38" s="4"/>
      <c r="L38" s="4"/>
      <c r="M38" s="4"/>
      <c r="N38" s="4"/>
      <c r="O38" s="4"/>
    </row>
    <row r="39" ht="14.25" customHeight="1">
      <c r="A39" s="4"/>
      <c r="B39" s="4"/>
      <c r="C39" s="4"/>
      <c r="D39" s="4"/>
      <c r="E39" s="4"/>
      <c r="F39" s="2"/>
      <c r="G39" s="3"/>
      <c r="H39" s="3"/>
      <c r="I39" s="4"/>
      <c r="J39" s="4"/>
      <c r="K39" s="4"/>
      <c r="L39" s="4"/>
      <c r="M39" s="4"/>
      <c r="N39" s="4"/>
      <c r="O39" s="4"/>
    </row>
    <row r="40" ht="14.25" customHeight="1">
      <c r="A40" s="4"/>
      <c r="B40" s="4"/>
      <c r="C40" s="4"/>
      <c r="D40" s="4"/>
      <c r="E40" s="4"/>
      <c r="F40" s="2"/>
      <c r="G40" s="3"/>
      <c r="H40" s="3"/>
      <c r="I40" s="4"/>
      <c r="J40" s="4"/>
      <c r="K40" s="4"/>
      <c r="L40" s="4"/>
      <c r="M40" s="4"/>
      <c r="N40" s="4"/>
      <c r="O40" s="4"/>
    </row>
    <row r="41" ht="14.25" customHeight="1">
      <c r="A41" s="4"/>
      <c r="B41" s="4"/>
      <c r="C41" s="4"/>
      <c r="D41" s="4"/>
      <c r="E41" s="4"/>
      <c r="F41" s="2"/>
      <c r="G41" s="3"/>
      <c r="H41" s="3"/>
      <c r="I41" s="4"/>
      <c r="J41" s="4"/>
      <c r="K41" s="4"/>
      <c r="L41" s="4"/>
      <c r="M41" s="4"/>
      <c r="N41" s="4"/>
      <c r="O41" s="4"/>
    </row>
    <row r="42" ht="14.25" customHeight="1">
      <c r="A42" s="4"/>
      <c r="B42" s="4"/>
      <c r="C42" s="4"/>
      <c r="D42" s="4"/>
      <c r="E42" s="4"/>
      <c r="F42" s="2"/>
      <c r="G42" s="3"/>
      <c r="H42" s="3"/>
      <c r="I42" s="4"/>
      <c r="J42" s="4"/>
      <c r="K42" s="4"/>
      <c r="L42" s="4"/>
      <c r="M42" s="4"/>
      <c r="N42" s="4"/>
      <c r="O42" s="4"/>
    </row>
    <row r="43" ht="14.25" customHeight="1">
      <c r="A43" s="4"/>
      <c r="B43" s="4"/>
      <c r="C43" s="4"/>
      <c r="D43" s="4"/>
      <c r="E43" s="4"/>
      <c r="F43" s="2"/>
      <c r="G43" s="3"/>
      <c r="H43" s="3"/>
      <c r="I43" s="4"/>
      <c r="J43" s="4"/>
      <c r="K43" s="4"/>
      <c r="L43" s="4"/>
      <c r="M43" s="4"/>
      <c r="N43" s="4"/>
      <c r="O43" s="4"/>
    </row>
    <row r="44" ht="14.25" customHeight="1">
      <c r="A44" s="4"/>
      <c r="B44" s="4"/>
      <c r="C44" s="4"/>
      <c r="D44" s="4"/>
      <c r="E44" s="4"/>
      <c r="F44" s="2"/>
      <c r="G44" s="3"/>
      <c r="H44" s="3"/>
      <c r="I44" s="4"/>
      <c r="J44" s="4"/>
      <c r="K44" s="4"/>
      <c r="L44" s="4"/>
      <c r="M44" s="4"/>
      <c r="N44" s="4"/>
      <c r="O44" s="4"/>
    </row>
    <row r="45" ht="14.25" customHeight="1">
      <c r="A45" s="4"/>
      <c r="B45" s="4"/>
      <c r="C45" s="4"/>
      <c r="D45" s="4"/>
      <c r="E45" s="4"/>
      <c r="F45" s="2"/>
      <c r="G45" s="3"/>
      <c r="H45" s="3"/>
      <c r="I45" s="4"/>
      <c r="J45" s="4"/>
      <c r="K45" s="4"/>
      <c r="L45" s="4"/>
      <c r="M45" s="4"/>
      <c r="N45" s="4"/>
      <c r="O45" s="4"/>
    </row>
    <row r="46" ht="14.25" customHeight="1">
      <c r="A46" s="4"/>
      <c r="B46" s="4"/>
      <c r="C46" s="4"/>
      <c r="D46" s="4"/>
      <c r="E46" s="4"/>
      <c r="F46" s="2"/>
      <c r="G46" s="3"/>
      <c r="H46" s="3"/>
      <c r="I46" s="4"/>
      <c r="J46" s="4"/>
      <c r="K46" s="4"/>
      <c r="L46" s="4"/>
      <c r="M46" s="4"/>
      <c r="N46" s="4"/>
      <c r="O46" s="4"/>
    </row>
    <row r="47" ht="14.25" customHeight="1">
      <c r="A47" s="4"/>
      <c r="B47" s="4"/>
      <c r="C47" s="4"/>
      <c r="D47" s="4"/>
      <c r="E47" s="4"/>
      <c r="F47" s="2"/>
      <c r="G47" s="3"/>
      <c r="H47" s="3"/>
      <c r="I47" s="4"/>
      <c r="J47" s="4"/>
      <c r="K47" s="4"/>
      <c r="L47" s="4"/>
      <c r="M47" s="4"/>
      <c r="N47" s="4"/>
      <c r="O47" s="4"/>
    </row>
    <row r="48" ht="14.25" customHeight="1">
      <c r="A48" s="4"/>
      <c r="B48" s="4"/>
      <c r="C48" s="4"/>
      <c r="D48" s="4"/>
      <c r="E48" s="4"/>
      <c r="F48" s="2"/>
      <c r="G48" s="3"/>
      <c r="H48" s="3"/>
      <c r="I48" s="4"/>
      <c r="J48" s="4"/>
      <c r="K48" s="4"/>
      <c r="L48" s="4"/>
      <c r="M48" s="4"/>
      <c r="N48" s="4"/>
      <c r="O48" s="4"/>
    </row>
    <row r="49" ht="14.25" customHeight="1">
      <c r="A49" s="4"/>
      <c r="B49" s="4"/>
      <c r="C49" s="4"/>
      <c r="D49" s="4"/>
      <c r="E49" s="4"/>
      <c r="F49" s="2"/>
      <c r="G49" s="3"/>
      <c r="H49" s="3"/>
      <c r="I49" s="4"/>
      <c r="J49" s="4"/>
      <c r="K49" s="4"/>
      <c r="L49" s="4"/>
      <c r="M49" s="4"/>
      <c r="N49" s="4"/>
      <c r="O49" s="4"/>
    </row>
    <row r="50" ht="14.25" customHeight="1">
      <c r="A50" s="4"/>
      <c r="B50" s="4"/>
      <c r="C50" s="4"/>
      <c r="D50" s="4"/>
      <c r="E50" s="4"/>
      <c r="F50" s="2"/>
      <c r="G50" s="3"/>
      <c r="H50" s="3"/>
      <c r="I50" s="4"/>
      <c r="J50" s="4"/>
      <c r="K50" s="4"/>
      <c r="L50" s="4"/>
      <c r="M50" s="4"/>
      <c r="N50" s="4"/>
      <c r="O50" s="4"/>
    </row>
    <row r="51" ht="14.25" customHeight="1">
      <c r="A51" s="4"/>
      <c r="B51" s="4"/>
      <c r="C51" s="4"/>
      <c r="D51" s="4"/>
      <c r="E51" s="4"/>
      <c r="F51" s="2"/>
      <c r="G51" s="3"/>
      <c r="H51" s="3"/>
      <c r="I51" s="4"/>
      <c r="J51" s="4"/>
      <c r="K51" s="4"/>
      <c r="L51" s="4"/>
      <c r="M51" s="4"/>
      <c r="N51" s="4"/>
      <c r="O51" s="4"/>
    </row>
    <row r="52" ht="14.25" customHeight="1">
      <c r="A52" s="4"/>
      <c r="B52" s="4"/>
      <c r="C52" s="4"/>
      <c r="D52" s="4"/>
      <c r="E52" s="4"/>
      <c r="F52" s="2"/>
      <c r="G52" s="3"/>
      <c r="H52" s="3"/>
      <c r="I52" s="4"/>
      <c r="J52" s="4"/>
      <c r="K52" s="4"/>
      <c r="L52" s="4"/>
      <c r="M52" s="4"/>
      <c r="N52" s="4"/>
      <c r="O52" s="4"/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9.75"/>
    <col customWidth="1" min="3" max="3" width="14.38"/>
    <col customWidth="1" min="4" max="5" width="13.13"/>
    <col customWidth="1" min="6" max="6" width="9.13"/>
    <col customWidth="1" min="7" max="7" width="13.88"/>
    <col customWidth="1" min="8" max="8" width="6.5"/>
    <col customWidth="1" min="9" max="9" width="10.75"/>
    <col customWidth="1" min="10" max="10" width="14.75"/>
    <col customWidth="1" min="11" max="26" width="7.75"/>
  </cols>
  <sheetData>
    <row r="1" ht="14.25" customHeight="1">
      <c r="A1" s="40" t="s">
        <v>12</v>
      </c>
      <c r="B1" s="40" t="s">
        <v>2</v>
      </c>
      <c r="C1" s="40" t="s">
        <v>3</v>
      </c>
      <c r="D1" s="40" t="s">
        <v>4</v>
      </c>
      <c r="E1" s="40" t="s">
        <v>5</v>
      </c>
      <c r="F1" s="41" t="s">
        <v>13</v>
      </c>
      <c r="G1" s="42" t="s">
        <v>14</v>
      </c>
      <c r="H1" s="42" t="s">
        <v>15</v>
      </c>
      <c r="I1" s="42" t="s">
        <v>16</v>
      </c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44" t="s">
        <v>17</v>
      </c>
      <c r="B2" s="45">
        <v>2943.0</v>
      </c>
      <c r="C2" s="45">
        <v>3683.0</v>
      </c>
      <c r="D2" s="45">
        <v>2.180398E7</v>
      </c>
      <c r="E2" s="45">
        <v>1.0398135E7</v>
      </c>
      <c r="F2" s="46">
        <f t="shared" ref="F2:F17" si="2">B2/$B$2</f>
        <v>1</v>
      </c>
      <c r="G2" s="47">
        <f t="shared" ref="G2:G17" si="3">D2/B2</f>
        <v>7408.759769</v>
      </c>
      <c r="H2" s="47">
        <f t="shared" ref="H2:I2" si="1">C2/B2</f>
        <v>1.251444105</v>
      </c>
      <c r="I2" s="47">
        <f t="shared" si="1"/>
        <v>5920.168341</v>
      </c>
    </row>
    <row r="3" ht="14.25" customHeight="1">
      <c r="A3" s="44" t="s">
        <v>18</v>
      </c>
      <c r="B3" s="45">
        <v>346.0</v>
      </c>
      <c r="C3" s="45">
        <v>513.0</v>
      </c>
      <c r="D3" s="45">
        <v>2765015.0</v>
      </c>
      <c r="E3" s="45">
        <v>1386330.0</v>
      </c>
      <c r="F3" s="46">
        <f t="shared" si="2"/>
        <v>0.1175671084</v>
      </c>
      <c r="G3" s="47">
        <f t="shared" si="3"/>
        <v>7991.372832</v>
      </c>
      <c r="H3" s="47">
        <f t="shared" ref="H3:I3" si="4">C3/B3</f>
        <v>1.48265896</v>
      </c>
      <c r="I3" s="47">
        <f t="shared" si="4"/>
        <v>5389.892788</v>
      </c>
    </row>
    <row r="4" ht="14.25" customHeight="1">
      <c r="A4" s="44" t="s">
        <v>19</v>
      </c>
      <c r="B4" s="45">
        <v>313.0</v>
      </c>
      <c r="C4" s="45">
        <v>451.0</v>
      </c>
      <c r="D4" s="45">
        <v>2352130.0</v>
      </c>
      <c r="E4" s="45">
        <v>1173700.0</v>
      </c>
      <c r="F4" s="46">
        <f t="shared" si="2"/>
        <v>0.1063540605</v>
      </c>
      <c r="G4" s="47">
        <f t="shared" si="3"/>
        <v>7514.792332</v>
      </c>
      <c r="H4" s="47">
        <f t="shared" ref="H4:I4" si="5">C4/B4</f>
        <v>1.440894569</v>
      </c>
      <c r="I4" s="47">
        <f t="shared" si="5"/>
        <v>5215.365854</v>
      </c>
    </row>
    <row r="5" ht="14.25" customHeight="1">
      <c r="A5" s="44" t="s">
        <v>20</v>
      </c>
      <c r="B5" s="45">
        <v>485.0</v>
      </c>
      <c r="C5" s="45">
        <v>819.0</v>
      </c>
      <c r="D5" s="45">
        <v>4692930.0</v>
      </c>
      <c r="E5" s="45">
        <v>2335300.0</v>
      </c>
      <c r="F5" s="46">
        <f t="shared" si="2"/>
        <v>0.1647978253</v>
      </c>
      <c r="G5" s="47">
        <f t="shared" si="3"/>
        <v>9676.14433</v>
      </c>
      <c r="H5" s="47">
        <f t="shared" ref="H5:I5" si="6">C5/B5</f>
        <v>1.688659794</v>
      </c>
      <c r="I5" s="47">
        <f t="shared" si="6"/>
        <v>5730.07326</v>
      </c>
    </row>
    <row r="6" ht="14.25" customHeight="1">
      <c r="A6" s="44" t="s">
        <v>21</v>
      </c>
      <c r="B6" s="45">
        <v>296.0</v>
      </c>
      <c r="C6" s="45">
        <v>435.0</v>
      </c>
      <c r="D6" s="45">
        <v>2411530.0</v>
      </c>
      <c r="E6" s="45">
        <v>1161600.0</v>
      </c>
      <c r="F6" s="46">
        <f t="shared" si="2"/>
        <v>0.1005776419</v>
      </c>
      <c r="G6" s="47">
        <f t="shared" si="3"/>
        <v>8147.060811</v>
      </c>
      <c r="H6" s="47">
        <f t="shared" ref="H6:I6" si="7">C6/B6</f>
        <v>1.469594595</v>
      </c>
      <c r="I6" s="47">
        <f t="shared" si="7"/>
        <v>5543.747126</v>
      </c>
    </row>
    <row r="7" ht="14.25" customHeight="1">
      <c r="A7" s="44" t="s">
        <v>22</v>
      </c>
      <c r="B7" s="45">
        <v>286.0</v>
      </c>
      <c r="C7" s="45">
        <v>453.0</v>
      </c>
      <c r="D7" s="45">
        <v>2186470.0</v>
      </c>
      <c r="E7" s="45">
        <v>1074425.0</v>
      </c>
      <c r="F7" s="46">
        <f t="shared" si="2"/>
        <v>0.09717974856</v>
      </c>
      <c r="G7" s="47">
        <f t="shared" si="3"/>
        <v>7645</v>
      </c>
      <c r="H7" s="47">
        <f t="shared" ref="H7:I7" si="8">C7/B7</f>
        <v>1.583916084</v>
      </c>
      <c r="I7" s="47">
        <f t="shared" si="8"/>
        <v>4826.644592</v>
      </c>
    </row>
    <row r="8" ht="14.25" customHeight="1">
      <c r="A8" s="44" t="s">
        <v>23</v>
      </c>
      <c r="B8" s="45">
        <v>245.0</v>
      </c>
      <c r="C8" s="45">
        <v>396.0</v>
      </c>
      <c r="D8" s="45">
        <v>2040280.0</v>
      </c>
      <c r="E8" s="45">
        <v>988295.0</v>
      </c>
      <c r="F8" s="46">
        <f t="shared" si="2"/>
        <v>0.083248386</v>
      </c>
      <c r="G8" s="47">
        <f t="shared" si="3"/>
        <v>8327.673469</v>
      </c>
      <c r="H8" s="47">
        <f t="shared" ref="H8:I8" si="9">C8/B8</f>
        <v>1.616326531</v>
      </c>
      <c r="I8" s="47">
        <f t="shared" si="9"/>
        <v>5152.222222</v>
      </c>
    </row>
    <row r="9" ht="14.25" customHeight="1">
      <c r="A9" s="44" t="s">
        <v>24</v>
      </c>
      <c r="B9" s="45">
        <v>420.0</v>
      </c>
      <c r="C9" s="45">
        <v>808.0</v>
      </c>
      <c r="D9" s="45">
        <v>4619175.0</v>
      </c>
      <c r="E9" s="45">
        <v>2215950.0</v>
      </c>
      <c r="F9" s="46">
        <f t="shared" si="2"/>
        <v>0.1427115189</v>
      </c>
      <c r="G9" s="47">
        <f t="shared" si="3"/>
        <v>10998.03571</v>
      </c>
      <c r="H9" s="47">
        <f t="shared" ref="H9:I9" si="10">C9/B9</f>
        <v>1.923809524</v>
      </c>
      <c r="I9" s="47">
        <f t="shared" si="10"/>
        <v>5716.800743</v>
      </c>
    </row>
    <row r="10" ht="14.25" customHeight="1">
      <c r="A10" s="44" t="s">
        <v>25</v>
      </c>
      <c r="B10" s="45">
        <v>312.0</v>
      </c>
      <c r="C10" s="45">
        <v>481.0</v>
      </c>
      <c r="D10" s="45">
        <v>2391565.0</v>
      </c>
      <c r="E10" s="45">
        <v>1101815.0</v>
      </c>
      <c r="F10" s="46">
        <f t="shared" si="2"/>
        <v>0.1060142712</v>
      </c>
      <c r="G10" s="47">
        <f t="shared" si="3"/>
        <v>7665.272436</v>
      </c>
      <c r="H10" s="47">
        <f t="shared" ref="H10:I10" si="11">C10/B10</f>
        <v>1.541666667</v>
      </c>
      <c r="I10" s="47">
        <f t="shared" si="11"/>
        <v>4972.068607</v>
      </c>
    </row>
    <row r="11" ht="14.25" customHeight="1">
      <c r="A11" s="44" t="s">
        <v>26</v>
      </c>
      <c r="B11" s="45">
        <v>281.0</v>
      </c>
      <c r="C11" s="45">
        <v>462.0</v>
      </c>
      <c r="D11" s="45">
        <v>2061895.0</v>
      </c>
      <c r="E11" s="45">
        <v>960080.0</v>
      </c>
      <c r="F11" s="46">
        <f t="shared" si="2"/>
        <v>0.0954808019</v>
      </c>
      <c r="G11" s="47">
        <f t="shared" si="3"/>
        <v>7337.704626</v>
      </c>
      <c r="H11" s="47">
        <f t="shared" ref="H11:I11" si="12">C11/B11</f>
        <v>1.644128114</v>
      </c>
      <c r="I11" s="47">
        <f t="shared" si="12"/>
        <v>4462.97619</v>
      </c>
    </row>
    <row r="12" ht="14.25" customHeight="1">
      <c r="A12" s="44" t="s">
        <v>27</v>
      </c>
      <c r="B12" s="45">
        <v>220.0</v>
      </c>
      <c r="C12" s="45">
        <v>384.0</v>
      </c>
      <c r="D12" s="45">
        <v>1826220.0</v>
      </c>
      <c r="E12" s="45">
        <v>838310.0</v>
      </c>
      <c r="F12" s="46">
        <f t="shared" si="2"/>
        <v>0.07475365274</v>
      </c>
      <c r="G12" s="47">
        <f t="shared" si="3"/>
        <v>8301</v>
      </c>
      <c r="H12" s="47">
        <f t="shared" ref="H12:I12" si="13">C12/B12</f>
        <v>1.745454545</v>
      </c>
      <c r="I12" s="47">
        <f t="shared" si="13"/>
        <v>4755.78125</v>
      </c>
    </row>
    <row r="13" ht="14.25" customHeight="1">
      <c r="A13" s="44" t="s">
        <v>28</v>
      </c>
      <c r="B13" s="45">
        <v>358.0</v>
      </c>
      <c r="C13" s="45">
        <v>722.0</v>
      </c>
      <c r="D13" s="45">
        <v>3652880.0</v>
      </c>
      <c r="E13" s="45">
        <v>1726835.0</v>
      </c>
      <c r="F13" s="46">
        <f t="shared" si="2"/>
        <v>0.1216445804</v>
      </c>
      <c r="G13" s="47">
        <f t="shared" si="3"/>
        <v>10203.57542</v>
      </c>
      <c r="H13" s="47">
        <f t="shared" ref="H13:I13" si="14">C13/B13</f>
        <v>2.016759777</v>
      </c>
      <c r="I13" s="47">
        <f t="shared" si="14"/>
        <v>5059.390582</v>
      </c>
    </row>
    <row r="14" ht="14.25" customHeight="1">
      <c r="A14" s="44" t="s">
        <v>29</v>
      </c>
      <c r="B14" s="45">
        <v>244.0</v>
      </c>
      <c r="C14" s="45">
        <v>397.0</v>
      </c>
      <c r="D14" s="45">
        <v>1945185.0</v>
      </c>
      <c r="E14" s="45">
        <v>908215.0</v>
      </c>
      <c r="F14" s="46">
        <f t="shared" si="2"/>
        <v>0.08290859667</v>
      </c>
      <c r="G14" s="47">
        <f t="shared" si="3"/>
        <v>7972.069672</v>
      </c>
      <c r="H14" s="47">
        <f t="shared" ref="H14:I14" si="15">C14/B14</f>
        <v>1.62704918</v>
      </c>
      <c r="I14" s="47">
        <f t="shared" si="15"/>
        <v>4899.710327</v>
      </c>
    </row>
    <row r="15" ht="14.25" customHeight="1">
      <c r="A15" s="44" t="s">
        <v>30</v>
      </c>
      <c r="B15" s="45">
        <v>236.0</v>
      </c>
      <c r="C15" s="45">
        <v>390.0</v>
      </c>
      <c r="D15" s="45">
        <v>1882925.0</v>
      </c>
      <c r="E15" s="45">
        <v>884840.0</v>
      </c>
      <c r="F15" s="46">
        <f t="shared" si="2"/>
        <v>0.08019028203</v>
      </c>
      <c r="G15" s="47">
        <f t="shared" si="3"/>
        <v>7978.495763</v>
      </c>
      <c r="H15" s="47">
        <f t="shared" ref="H15:I15" si="16">C15/B15</f>
        <v>1.652542373</v>
      </c>
      <c r="I15" s="47">
        <f t="shared" si="16"/>
        <v>4828.012821</v>
      </c>
    </row>
    <row r="16" ht="14.25" customHeight="1">
      <c r="A16" s="44" t="s">
        <v>31</v>
      </c>
      <c r="B16" s="45">
        <v>201.0</v>
      </c>
      <c r="C16" s="45">
        <v>338.0</v>
      </c>
      <c r="D16" s="45">
        <v>1504580.0</v>
      </c>
      <c r="E16" s="45">
        <v>703560.0</v>
      </c>
      <c r="F16" s="46">
        <f t="shared" si="2"/>
        <v>0.06829765545</v>
      </c>
      <c r="G16" s="47">
        <f t="shared" si="3"/>
        <v>7485.472637</v>
      </c>
      <c r="H16" s="47">
        <f t="shared" ref="H16:I16" si="17">C16/B16</f>
        <v>1.68159204</v>
      </c>
      <c r="I16" s="47">
        <f t="shared" si="17"/>
        <v>4451.420118</v>
      </c>
    </row>
    <row r="17" ht="14.25" customHeight="1">
      <c r="A17" s="44" t="s">
        <v>32</v>
      </c>
      <c r="B17" s="45">
        <v>353.0</v>
      </c>
      <c r="C17" s="45">
        <v>657.0</v>
      </c>
      <c r="D17" s="45">
        <v>3447070.0</v>
      </c>
      <c r="E17" s="45">
        <v>1627065.0</v>
      </c>
      <c r="F17" s="46">
        <f t="shared" si="2"/>
        <v>0.1199456337</v>
      </c>
      <c r="G17" s="47">
        <f t="shared" si="3"/>
        <v>9765.070822</v>
      </c>
      <c r="H17" s="47">
        <f t="shared" ref="H17:I17" si="18">C17/B17</f>
        <v>1.861189802</v>
      </c>
      <c r="I17" s="47">
        <f t="shared" si="18"/>
        <v>5246.681887</v>
      </c>
    </row>
    <row r="18" ht="14.25" customHeight="1">
      <c r="A18" s="48"/>
      <c r="F18" s="49"/>
    </row>
    <row r="19" ht="14.25" customHeight="1">
      <c r="A19" s="48"/>
      <c r="F19" s="49"/>
    </row>
    <row r="20" ht="14.25" customHeight="1">
      <c r="A20" s="48"/>
      <c r="F20" s="49"/>
    </row>
    <row r="21" ht="14.25" customHeight="1">
      <c r="A21" s="50"/>
      <c r="B21" s="51"/>
      <c r="C21" s="51"/>
      <c r="D21" s="51"/>
      <c r="E21" s="51"/>
      <c r="F21" s="52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ht="14.25" customHeight="1">
      <c r="A22" s="48"/>
      <c r="F22" s="49"/>
    </row>
    <row r="23" ht="14.25" customHeight="1">
      <c r="A23" s="48"/>
      <c r="F23" s="49"/>
    </row>
    <row r="24" ht="14.25" customHeight="1">
      <c r="A24" s="48"/>
      <c r="F24" s="49"/>
    </row>
    <row r="25" ht="14.25" customHeight="1">
      <c r="A25" s="48"/>
      <c r="F25" s="49"/>
    </row>
    <row r="26" ht="14.25" customHeight="1">
      <c r="A26" s="48"/>
      <c r="F26" s="49"/>
    </row>
    <row r="27" ht="14.25" customHeight="1">
      <c r="A27" s="48"/>
      <c r="F27" s="49"/>
    </row>
    <row r="28" ht="14.25" customHeight="1">
      <c r="A28" s="48"/>
      <c r="F28" s="49"/>
    </row>
    <row r="29" ht="14.25" customHeight="1">
      <c r="A29" s="48"/>
      <c r="F29" s="49"/>
    </row>
    <row r="30" ht="14.25" customHeight="1">
      <c r="A30" s="48"/>
      <c r="F30" s="49"/>
    </row>
    <row r="31" ht="14.25" customHeight="1">
      <c r="A31" s="48"/>
      <c r="F31" s="49"/>
    </row>
    <row r="32" ht="14.25" customHeight="1">
      <c r="A32" s="48"/>
      <c r="F32" s="49"/>
    </row>
    <row r="33" ht="14.25" customHeight="1">
      <c r="A33" s="48"/>
      <c r="F33" s="49"/>
    </row>
    <row r="34" ht="14.25" customHeight="1">
      <c r="A34" s="48"/>
      <c r="F34" s="49"/>
    </row>
    <row r="35" ht="14.25" customHeight="1">
      <c r="A35" s="48"/>
      <c r="F35" s="49"/>
    </row>
    <row r="36" ht="14.25" customHeight="1">
      <c r="A36" s="48"/>
      <c r="F36" s="49"/>
    </row>
    <row r="37" ht="14.25" customHeight="1">
      <c r="A37" s="48"/>
      <c r="F37" s="49"/>
    </row>
    <row r="38" ht="14.25" customHeight="1">
      <c r="A38" s="48"/>
      <c r="F38" s="49"/>
    </row>
    <row r="39" ht="14.25" customHeight="1">
      <c r="A39" s="48"/>
      <c r="F39" s="49"/>
    </row>
    <row r="40" ht="14.25" customHeight="1">
      <c r="A40" s="48"/>
      <c r="F40" s="49"/>
    </row>
    <row r="41" ht="14.25" customHeight="1">
      <c r="A41" s="48"/>
      <c r="F41" s="49"/>
    </row>
    <row r="42" ht="14.25" customHeight="1">
      <c r="A42" s="48"/>
      <c r="F42" s="49"/>
    </row>
    <row r="43" ht="14.25" customHeight="1">
      <c r="A43" s="48"/>
      <c r="F43" s="49"/>
    </row>
    <row r="44" ht="14.25" customHeight="1">
      <c r="A44" s="48"/>
      <c r="F44" s="49"/>
    </row>
    <row r="45" ht="14.25" customHeight="1">
      <c r="A45" s="48"/>
      <c r="F45" s="49"/>
    </row>
    <row r="46" ht="14.25" customHeight="1">
      <c r="A46" s="48"/>
      <c r="F46" s="49"/>
    </row>
    <row r="47" ht="14.25" customHeight="1">
      <c r="A47" s="48"/>
      <c r="F47" s="49"/>
    </row>
    <row r="48" ht="14.25" customHeight="1">
      <c r="A48" s="48"/>
      <c r="F48" s="49"/>
    </row>
    <row r="49" ht="14.25" customHeight="1">
      <c r="A49" s="48"/>
      <c r="F49" s="49"/>
    </row>
    <row r="50" ht="14.25" customHeight="1">
      <c r="A50" s="48"/>
      <c r="F50" s="49"/>
    </row>
    <row r="51" ht="14.25" customHeight="1">
      <c r="A51" s="48"/>
      <c r="F51" s="49"/>
    </row>
    <row r="52" ht="14.25" customHeight="1">
      <c r="A52" s="48"/>
      <c r="F52" s="49"/>
    </row>
    <row r="53" ht="14.25" customHeight="1">
      <c r="A53" s="48"/>
      <c r="F53" s="49"/>
    </row>
    <row r="54" ht="14.25" customHeight="1">
      <c r="A54" s="48"/>
      <c r="F54" s="49"/>
    </row>
    <row r="55" ht="14.25" customHeight="1">
      <c r="A55" s="48"/>
      <c r="F55" s="49"/>
    </row>
    <row r="56" ht="14.25" customHeight="1">
      <c r="A56" s="48"/>
      <c r="F56" s="49"/>
    </row>
    <row r="57" ht="14.25" customHeight="1">
      <c r="A57" s="48"/>
      <c r="F57" s="49"/>
    </row>
    <row r="58" ht="14.25" customHeight="1">
      <c r="A58" s="48"/>
      <c r="F58" s="49"/>
    </row>
    <row r="59" ht="14.25" customHeight="1">
      <c r="A59" s="48"/>
      <c r="F59" s="49"/>
    </row>
    <row r="60" ht="14.25" customHeight="1">
      <c r="A60" s="48"/>
      <c r="F60" s="49"/>
    </row>
    <row r="61" ht="14.25" customHeight="1">
      <c r="A61" s="48"/>
      <c r="F61" s="49"/>
    </row>
    <row r="62" ht="14.25" customHeight="1">
      <c r="A62" s="48"/>
      <c r="F62" s="49"/>
    </row>
    <row r="63" ht="14.25" customHeight="1">
      <c r="A63" s="48"/>
      <c r="F63" s="49"/>
    </row>
    <row r="64" ht="14.25" customHeight="1">
      <c r="A64" s="48"/>
      <c r="F64" s="49"/>
    </row>
    <row r="65" ht="14.25" customHeight="1">
      <c r="A65" s="48"/>
      <c r="F65" s="49"/>
    </row>
    <row r="66" ht="14.25" customHeight="1">
      <c r="A66" s="48"/>
      <c r="F66" s="49"/>
    </row>
    <row r="67" ht="14.25" customHeight="1">
      <c r="A67" s="48"/>
      <c r="F67" s="49"/>
    </row>
    <row r="68" ht="14.25" customHeight="1">
      <c r="A68" s="48"/>
      <c r="F68" s="49"/>
    </row>
    <row r="69" ht="14.25" customHeight="1">
      <c r="A69" s="48"/>
      <c r="F69" s="49"/>
    </row>
    <row r="70" ht="14.25" customHeight="1">
      <c r="A70" s="48"/>
      <c r="F70" s="49"/>
    </row>
    <row r="71" ht="14.25" customHeight="1">
      <c r="A71" s="48"/>
      <c r="F71" s="49"/>
    </row>
    <row r="72" ht="14.25" customHeight="1">
      <c r="A72" s="48"/>
      <c r="F72" s="49"/>
    </row>
    <row r="73" ht="14.25" customHeight="1">
      <c r="A73" s="48"/>
      <c r="F73" s="49"/>
    </row>
    <row r="74" ht="14.25" customHeight="1">
      <c r="A74" s="48"/>
      <c r="F74" s="49"/>
    </row>
    <row r="75" ht="14.25" customHeight="1">
      <c r="A75" s="48"/>
      <c r="F75" s="49"/>
    </row>
    <row r="76" ht="14.25" customHeight="1">
      <c r="A76" s="48"/>
      <c r="F76" s="49"/>
    </row>
    <row r="77" ht="14.25" customHeight="1">
      <c r="A77" s="48"/>
      <c r="F77" s="49"/>
    </row>
    <row r="78" ht="14.25" customHeight="1">
      <c r="A78" s="48"/>
      <c r="F78" s="49"/>
    </row>
    <row r="79" ht="14.25" customHeight="1">
      <c r="A79" s="48"/>
      <c r="F79" s="49"/>
    </row>
    <row r="80" ht="14.25" customHeight="1">
      <c r="A80" s="48"/>
      <c r="F80" s="49"/>
    </row>
    <row r="81" ht="14.25" customHeight="1">
      <c r="A81" s="48"/>
      <c r="F81" s="49"/>
    </row>
    <row r="82" ht="14.25" customHeight="1">
      <c r="A82" s="48"/>
      <c r="F82" s="49"/>
    </row>
    <row r="83" ht="14.25" customHeight="1">
      <c r="A83" s="48"/>
      <c r="F83" s="49"/>
    </row>
    <row r="84" ht="14.25" customHeight="1">
      <c r="A84" s="48"/>
      <c r="F84" s="49"/>
    </row>
    <row r="85" ht="14.25" customHeight="1">
      <c r="A85" s="48"/>
      <c r="F85" s="49"/>
    </row>
    <row r="86" ht="14.25" customHeight="1">
      <c r="A86" s="48"/>
      <c r="F86" s="49"/>
    </row>
    <row r="87" ht="14.25" customHeight="1">
      <c r="A87" s="48"/>
      <c r="F87" s="49"/>
    </row>
    <row r="88" ht="14.25" customHeight="1">
      <c r="A88" s="48"/>
      <c r="F88" s="49"/>
    </row>
    <row r="89" ht="14.25" customHeight="1">
      <c r="A89" s="48"/>
      <c r="F89" s="49"/>
    </row>
    <row r="90" ht="14.25" customHeight="1">
      <c r="A90" s="48"/>
      <c r="F90" s="49"/>
    </row>
    <row r="91" ht="14.25" customHeight="1">
      <c r="A91" s="48"/>
      <c r="F91" s="49"/>
    </row>
    <row r="92" ht="14.25" customHeight="1">
      <c r="A92" s="48"/>
      <c r="F92" s="49"/>
    </row>
    <row r="93" ht="14.25" customHeight="1">
      <c r="A93" s="48"/>
      <c r="F93" s="49"/>
    </row>
    <row r="94" ht="14.25" customHeight="1">
      <c r="A94" s="48"/>
      <c r="F94" s="49"/>
    </row>
    <row r="95" ht="14.25" customHeight="1">
      <c r="A95" s="48"/>
      <c r="F95" s="49"/>
    </row>
    <row r="96" ht="14.25" customHeight="1">
      <c r="A96" s="48"/>
      <c r="F96" s="49"/>
    </row>
    <row r="97" ht="14.25" customHeight="1">
      <c r="A97" s="48"/>
      <c r="F97" s="49"/>
    </row>
    <row r="98" ht="14.25" customHeight="1">
      <c r="A98" s="48"/>
      <c r="F98" s="49"/>
    </row>
    <row r="99" ht="14.25" customHeight="1">
      <c r="A99" s="48"/>
      <c r="F99" s="49"/>
    </row>
    <row r="100" ht="14.25" customHeight="1">
      <c r="A100" s="48"/>
      <c r="F100" s="49"/>
    </row>
    <row r="101" ht="14.25" customHeight="1">
      <c r="A101" s="48"/>
      <c r="F101" s="49"/>
    </row>
    <row r="102" ht="14.25" customHeight="1">
      <c r="A102" s="48"/>
      <c r="F102" s="49"/>
    </row>
    <row r="103" ht="14.25" customHeight="1">
      <c r="A103" s="48"/>
      <c r="F103" s="49"/>
    </row>
    <row r="104" ht="14.25" customHeight="1">
      <c r="A104" s="48"/>
      <c r="F104" s="49"/>
    </row>
    <row r="105" ht="14.25" customHeight="1">
      <c r="A105" s="48"/>
      <c r="F105" s="49"/>
    </row>
    <row r="106" ht="14.25" customHeight="1">
      <c r="A106" s="48"/>
      <c r="F106" s="49"/>
    </row>
    <row r="107" ht="14.25" customHeight="1">
      <c r="A107" s="48"/>
      <c r="F107" s="49"/>
    </row>
    <row r="108" ht="14.25" customHeight="1">
      <c r="A108" s="48"/>
      <c r="F108" s="49"/>
    </row>
    <row r="109" ht="14.25" customHeight="1">
      <c r="A109" s="48"/>
      <c r="F109" s="49"/>
    </row>
    <row r="110" ht="14.25" customHeight="1">
      <c r="A110" s="48"/>
      <c r="F110" s="49"/>
    </row>
    <row r="111" ht="14.25" customHeight="1">
      <c r="A111" s="48"/>
      <c r="F111" s="49"/>
    </row>
    <row r="112" ht="14.25" customHeight="1">
      <c r="A112" s="48"/>
      <c r="F112" s="49"/>
    </row>
    <row r="113" ht="14.25" customHeight="1">
      <c r="A113" s="48"/>
      <c r="F113" s="49"/>
    </row>
    <row r="114" ht="14.25" customHeight="1">
      <c r="A114" s="48"/>
      <c r="F114" s="49"/>
    </row>
    <row r="115" ht="14.25" customHeight="1">
      <c r="A115" s="48"/>
      <c r="F115" s="49"/>
    </row>
    <row r="116" ht="14.25" customHeight="1">
      <c r="A116" s="48"/>
      <c r="F116" s="49"/>
    </row>
    <row r="117" ht="14.25" customHeight="1">
      <c r="A117" s="48"/>
      <c r="F117" s="49"/>
    </row>
    <row r="118" ht="14.25" customHeight="1">
      <c r="A118" s="48"/>
      <c r="F118" s="49"/>
    </row>
    <row r="119" ht="14.25" customHeight="1">
      <c r="A119" s="48"/>
      <c r="F119" s="49"/>
    </row>
    <row r="120" ht="14.25" customHeight="1">
      <c r="A120" s="48"/>
      <c r="F120" s="49"/>
    </row>
    <row r="121" ht="14.25" customHeight="1">
      <c r="A121" s="48"/>
      <c r="F121" s="49"/>
    </row>
    <row r="122" ht="14.25" customHeight="1">
      <c r="A122" s="48"/>
      <c r="F122" s="49"/>
    </row>
    <row r="123" ht="14.25" customHeight="1">
      <c r="A123" s="48"/>
      <c r="F123" s="49"/>
    </row>
    <row r="124" ht="14.25" customHeight="1">
      <c r="A124" s="48"/>
      <c r="F124" s="49"/>
    </row>
    <row r="125" ht="14.25" customHeight="1">
      <c r="A125" s="48"/>
      <c r="F125" s="49"/>
    </row>
    <row r="126" ht="14.25" customHeight="1">
      <c r="A126" s="48"/>
      <c r="F126" s="49"/>
    </row>
    <row r="127" ht="14.25" customHeight="1">
      <c r="A127" s="48"/>
      <c r="F127" s="49"/>
    </row>
    <row r="128" ht="14.25" customHeight="1">
      <c r="A128" s="48"/>
      <c r="F128" s="49"/>
    </row>
    <row r="129" ht="14.25" customHeight="1">
      <c r="A129" s="48"/>
      <c r="F129" s="49"/>
    </row>
    <row r="130" ht="14.25" customHeight="1">
      <c r="A130" s="48"/>
      <c r="F130" s="49"/>
    </row>
    <row r="131" ht="14.25" customHeight="1">
      <c r="A131" s="48"/>
      <c r="F131" s="49"/>
    </row>
    <row r="132" ht="14.25" customHeight="1">
      <c r="A132" s="48"/>
      <c r="F132" s="49"/>
    </row>
    <row r="133" ht="14.25" customHeight="1">
      <c r="A133" s="48"/>
      <c r="F133" s="49"/>
    </row>
    <row r="134" ht="14.25" customHeight="1">
      <c r="A134" s="48"/>
      <c r="F134" s="49"/>
    </row>
    <row r="135" ht="14.25" customHeight="1">
      <c r="A135" s="48"/>
      <c r="F135" s="49"/>
    </row>
    <row r="136" ht="14.25" customHeight="1">
      <c r="A136" s="48"/>
      <c r="F136" s="49"/>
    </row>
    <row r="137" ht="14.25" customHeight="1">
      <c r="A137" s="48"/>
      <c r="F137" s="49"/>
    </row>
    <row r="138" ht="14.25" customHeight="1">
      <c r="A138" s="48"/>
      <c r="F138" s="49"/>
    </row>
    <row r="139" ht="14.25" customHeight="1">
      <c r="A139" s="48"/>
      <c r="F139" s="49"/>
    </row>
    <row r="140" ht="14.25" customHeight="1">
      <c r="A140" s="48"/>
      <c r="F140" s="49"/>
    </row>
    <row r="141" ht="14.25" customHeight="1">
      <c r="A141" s="48"/>
      <c r="F141" s="49"/>
    </row>
    <row r="142" ht="14.25" customHeight="1">
      <c r="A142" s="48"/>
      <c r="F142" s="49"/>
    </row>
    <row r="143" ht="14.25" customHeight="1">
      <c r="A143" s="48"/>
      <c r="F143" s="49"/>
    </row>
    <row r="144" ht="14.25" customHeight="1">
      <c r="A144" s="48"/>
      <c r="F144" s="49"/>
    </row>
    <row r="145" ht="14.25" customHeight="1">
      <c r="A145" s="48"/>
      <c r="F145" s="49"/>
    </row>
    <row r="146" ht="14.25" customHeight="1">
      <c r="A146" s="48"/>
      <c r="F146" s="49"/>
    </row>
    <row r="147" ht="14.25" customHeight="1">
      <c r="A147" s="48"/>
      <c r="F147" s="49"/>
    </row>
    <row r="148" ht="14.25" customHeight="1">
      <c r="A148" s="48"/>
      <c r="F148" s="49"/>
    </row>
    <row r="149" ht="14.25" customHeight="1">
      <c r="A149" s="48"/>
      <c r="F149" s="49"/>
    </row>
    <row r="150" ht="14.25" customHeight="1">
      <c r="A150" s="48"/>
      <c r="F150" s="49"/>
    </row>
    <row r="151" ht="14.25" customHeight="1">
      <c r="A151" s="48"/>
      <c r="F151" s="49"/>
    </row>
    <row r="152" ht="14.25" customHeight="1">
      <c r="A152" s="48"/>
      <c r="F152" s="49"/>
    </row>
    <row r="153" ht="14.25" customHeight="1">
      <c r="A153" s="48"/>
      <c r="F153" s="49"/>
    </row>
    <row r="154" ht="14.25" customHeight="1">
      <c r="A154" s="48"/>
      <c r="F154" s="49"/>
    </row>
    <row r="155" ht="14.25" customHeight="1">
      <c r="A155" s="48"/>
      <c r="F155" s="49"/>
    </row>
    <row r="156" ht="14.25" customHeight="1">
      <c r="A156" s="48"/>
      <c r="F156" s="49"/>
    </row>
    <row r="157" ht="14.25" customHeight="1">
      <c r="A157" s="48"/>
      <c r="F157" s="49"/>
    </row>
    <row r="158" ht="14.25" customHeight="1">
      <c r="A158" s="48"/>
      <c r="F158" s="49"/>
    </row>
    <row r="159" ht="14.25" customHeight="1">
      <c r="A159" s="48"/>
      <c r="F159" s="49"/>
    </row>
    <row r="160" ht="14.25" customHeight="1">
      <c r="A160" s="48"/>
      <c r="F160" s="49"/>
    </row>
    <row r="161" ht="14.25" customHeight="1">
      <c r="A161" s="48"/>
      <c r="F161" s="49"/>
    </row>
    <row r="162" ht="14.25" customHeight="1">
      <c r="A162" s="48"/>
      <c r="F162" s="49"/>
    </row>
    <row r="163" ht="14.25" customHeight="1">
      <c r="A163" s="48"/>
      <c r="F163" s="49"/>
    </row>
    <row r="164" ht="14.25" customHeight="1">
      <c r="A164" s="48"/>
      <c r="F164" s="49"/>
    </row>
    <row r="165" ht="14.25" customHeight="1">
      <c r="A165" s="48"/>
      <c r="F165" s="49"/>
    </row>
    <row r="166" ht="14.25" customHeight="1">
      <c r="A166" s="48"/>
      <c r="F166" s="49"/>
    </row>
    <row r="167" ht="14.25" customHeight="1">
      <c r="A167" s="48"/>
      <c r="F167" s="49"/>
    </row>
    <row r="168" ht="14.25" customHeight="1">
      <c r="A168" s="48"/>
      <c r="F168" s="49"/>
    </row>
    <row r="169" ht="14.25" customHeight="1">
      <c r="A169" s="48"/>
      <c r="F169" s="49"/>
    </row>
    <row r="170" ht="14.25" customHeight="1">
      <c r="A170" s="48"/>
      <c r="F170" s="49"/>
    </row>
    <row r="171" ht="14.25" customHeight="1">
      <c r="A171" s="48"/>
      <c r="F171" s="49"/>
    </row>
    <row r="172" ht="14.25" customHeight="1">
      <c r="A172" s="48"/>
      <c r="F172" s="49"/>
    </row>
    <row r="173" ht="14.25" customHeight="1">
      <c r="A173" s="48"/>
      <c r="F173" s="49"/>
    </row>
    <row r="174" ht="14.25" customHeight="1">
      <c r="A174" s="48"/>
      <c r="F174" s="49"/>
    </row>
    <row r="175" ht="14.25" customHeight="1">
      <c r="A175" s="48"/>
      <c r="F175" s="49"/>
    </row>
    <row r="176" ht="14.25" customHeight="1">
      <c r="A176" s="48"/>
      <c r="F176" s="49"/>
    </row>
    <row r="177" ht="14.25" customHeight="1">
      <c r="A177" s="48"/>
      <c r="F177" s="49"/>
    </row>
    <row r="178" ht="14.25" customHeight="1">
      <c r="A178" s="48"/>
      <c r="F178" s="49"/>
    </row>
    <row r="179" ht="14.25" customHeight="1">
      <c r="A179" s="48"/>
      <c r="F179" s="49"/>
    </row>
    <row r="180" ht="14.25" customHeight="1">
      <c r="A180" s="48"/>
      <c r="F180" s="49"/>
    </row>
    <row r="181" ht="14.25" customHeight="1">
      <c r="A181" s="48"/>
      <c r="F181" s="49"/>
    </row>
    <row r="182" ht="14.25" customHeight="1">
      <c r="A182" s="48"/>
      <c r="F182" s="49"/>
    </row>
    <row r="183" ht="14.25" customHeight="1">
      <c r="A183" s="48"/>
      <c r="F183" s="49"/>
    </row>
    <row r="184" ht="14.25" customHeight="1">
      <c r="A184" s="48"/>
      <c r="F184" s="49"/>
    </row>
    <row r="185" ht="14.25" customHeight="1">
      <c r="A185" s="48"/>
      <c r="F185" s="49"/>
    </row>
    <row r="186" ht="14.25" customHeight="1">
      <c r="A186" s="48"/>
      <c r="F186" s="49"/>
    </row>
    <row r="187" ht="14.25" customHeight="1">
      <c r="A187" s="48"/>
      <c r="F187" s="49"/>
    </row>
    <row r="188" ht="14.25" customHeight="1">
      <c r="A188" s="48"/>
      <c r="F188" s="49"/>
    </row>
    <row r="189" ht="14.25" customHeight="1">
      <c r="A189" s="48"/>
      <c r="F189" s="49"/>
    </row>
    <row r="190" ht="14.25" customHeight="1">
      <c r="A190" s="48"/>
      <c r="F190" s="49"/>
    </row>
    <row r="191" ht="14.25" customHeight="1">
      <c r="A191" s="48"/>
      <c r="F191" s="49"/>
    </row>
    <row r="192" ht="14.25" customHeight="1">
      <c r="A192" s="48"/>
      <c r="F192" s="49"/>
    </row>
    <row r="193" ht="14.25" customHeight="1">
      <c r="A193" s="48"/>
      <c r="F193" s="49"/>
    </row>
    <row r="194" ht="14.25" customHeight="1">
      <c r="A194" s="48"/>
      <c r="F194" s="49"/>
    </row>
    <row r="195" ht="14.25" customHeight="1">
      <c r="A195" s="48"/>
      <c r="F195" s="49"/>
    </row>
    <row r="196" ht="14.25" customHeight="1">
      <c r="A196" s="48"/>
      <c r="F196" s="49"/>
    </row>
    <row r="197" ht="14.25" customHeight="1">
      <c r="A197" s="48"/>
      <c r="F197" s="49"/>
    </row>
    <row r="198" ht="14.25" customHeight="1">
      <c r="A198" s="48"/>
      <c r="F198" s="49"/>
    </row>
    <row r="199" ht="14.25" customHeight="1">
      <c r="A199" s="48"/>
      <c r="F199" s="49"/>
    </row>
    <row r="200" ht="14.25" customHeight="1">
      <c r="A200" s="48"/>
      <c r="F200" s="49"/>
    </row>
    <row r="201" ht="14.25" customHeight="1">
      <c r="A201" s="48"/>
      <c r="F201" s="49"/>
    </row>
    <row r="202" ht="14.25" customHeight="1">
      <c r="A202" s="48"/>
      <c r="F202" s="49"/>
    </row>
    <row r="203" ht="14.25" customHeight="1">
      <c r="A203" s="48"/>
      <c r="F203" s="49"/>
    </row>
    <row r="204" ht="14.25" customHeight="1">
      <c r="A204" s="48"/>
      <c r="F204" s="49"/>
    </row>
    <row r="205" ht="14.25" customHeight="1">
      <c r="A205" s="48"/>
      <c r="F205" s="49"/>
    </row>
    <row r="206" ht="14.25" customHeight="1">
      <c r="A206" s="48"/>
      <c r="F206" s="49"/>
    </row>
    <row r="207" ht="14.25" customHeight="1">
      <c r="A207" s="48"/>
      <c r="F207" s="49"/>
    </row>
    <row r="208" ht="14.25" customHeight="1">
      <c r="A208" s="48"/>
      <c r="F208" s="49"/>
    </row>
    <row r="209" ht="14.25" customHeight="1">
      <c r="A209" s="48"/>
      <c r="F209" s="49"/>
    </row>
    <row r="210" ht="14.25" customHeight="1">
      <c r="A210" s="48"/>
      <c r="F210" s="49"/>
    </row>
    <row r="211" ht="14.25" customHeight="1">
      <c r="A211" s="48"/>
      <c r="F211" s="49"/>
    </row>
    <row r="212" ht="14.25" customHeight="1">
      <c r="A212" s="48"/>
      <c r="F212" s="49"/>
    </row>
    <row r="213" ht="14.25" customHeight="1">
      <c r="A213" s="48"/>
      <c r="F213" s="49"/>
    </row>
    <row r="214" ht="14.25" customHeight="1">
      <c r="A214" s="48"/>
      <c r="F214" s="49"/>
    </row>
    <row r="215" ht="14.25" customHeight="1">
      <c r="A215" s="48"/>
      <c r="F215" s="49"/>
    </row>
    <row r="216" ht="14.25" customHeight="1">
      <c r="A216" s="48"/>
      <c r="F216" s="49"/>
    </row>
    <row r="217" ht="14.25" customHeight="1">
      <c r="A217" s="48"/>
      <c r="F217" s="49"/>
    </row>
    <row r="218" ht="14.25" customHeight="1">
      <c r="A218" s="48"/>
      <c r="F218" s="49"/>
    </row>
    <row r="219" ht="14.25" customHeight="1">
      <c r="A219" s="48"/>
      <c r="F219" s="49"/>
    </row>
    <row r="220" ht="14.25" customHeight="1">
      <c r="A220" s="48"/>
      <c r="F220" s="49"/>
    </row>
    <row r="221" ht="14.25" customHeight="1">
      <c r="A221" s="48"/>
      <c r="F221" s="49"/>
    </row>
    <row r="222" ht="14.25" customHeight="1">
      <c r="A222" s="48"/>
      <c r="F222" s="49"/>
    </row>
    <row r="223" ht="14.25" customHeight="1">
      <c r="A223" s="48"/>
      <c r="F223" s="49"/>
    </row>
    <row r="224" ht="14.25" customHeight="1">
      <c r="A224" s="48"/>
      <c r="F224" s="49"/>
    </row>
    <row r="225" ht="14.25" customHeight="1">
      <c r="A225" s="48"/>
      <c r="F225" s="49"/>
    </row>
    <row r="226" ht="14.25" customHeight="1">
      <c r="A226" s="48"/>
      <c r="F226" s="49"/>
    </row>
    <row r="227" ht="14.25" customHeight="1">
      <c r="A227" s="48"/>
      <c r="F227" s="49"/>
    </row>
    <row r="228" ht="14.25" customHeight="1">
      <c r="A228" s="48"/>
      <c r="F228" s="49"/>
    </row>
    <row r="229" ht="14.25" customHeight="1">
      <c r="A229" s="48"/>
      <c r="F229" s="49"/>
    </row>
    <row r="230" ht="14.25" customHeight="1">
      <c r="A230" s="48"/>
      <c r="F230" s="49"/>
    </row>
    <row r="231" ht="14.25" customHeight="1">
      <c r="A231" s="48"/>
      <c r="F231" s="49"/>
    </row>
    <row r="232" ht="14.25" customHeight="1">
      <c r="A232" s="48"/>
      <c r="F232" s="49"/>
    </row>
    <row r="233" ht="14.25" customHeight="1">
      <c r="A233" s="48"/>
      <c r="F233" s="49"/>
    </row>
    <row r="234" ht="14.25" customHeight="1">
      <c r="A234" s="48"/>
      <c r="F234" s="49"/>
    </row>
    <row r="235" ht="14.25" customHeight="1">
      <c r="A235" s="48"/>
      <c r="F235" s="49"/>
    </row>
    <row r="236" ht="14.25" customHeight="1">
      <c r="A236" s="48"/>
      <c r="F236" s="49"/>
    </row>
    <row r="237" ht="14.25" customHeight="1">
      <c r="A237" s="48"/>
      <c r="F237" s="49"/>
    </row>
    <row r="238" ht="14.25" customHeight="1">
      <c r="A238" s="48"/>
      <c r="F238" s="49"/>
    </row>
    <row r="239" ht="14.25" customHeight="1">
      <c r="A239" s="48"/>
      <c r="F239" s="49"/>
    </row>
    <row r="240" ht="14.25" customHeight="1">
      <c r="A240" s="48"/>
      <c r="F240" s="49"/>
    </row>
    <row r="241" ht="14.25" customHeight="1">
      <c r="A241" s="48"/>
      <c r="F241" s="49"/>
    </row>
    <row r="242" ht="14.25" customHeight="1">
      <c r="A242" s="48"/>
      <c r="F242" s="49"/>
    </row>
    <row r="243" ht="14.25" customHeight="1">
      <c r="A243" s="48"/>
      <c r="F243" s="49"/>
    </row>
    <row r="244" ht="14.25" customHeight="1">
      <c r="A244" s="48"/>
      <c r="F244" s="49"/>
    </row>
    <row r="245" ht="14.25" customHeight="1">
      <c r="A245" s="48"/>
      <c r="F245" s="49"/>
    </row>
    <row r="246" ht="14.25" customHeight="1">
      <c r="A246" s="48"/>
      <c r="F246" s="49"/>
    </row>
    <row r="247" ht="14.25" customHeight="1">
      <c r="A247" s="48"/>
      <c r="F247" s="49"/>
    </row>
    <row r="248" ht="14.25" customHeight="1">
      <c r="A248" s="48"/>
      <c r="F248" s="49"/>
    </row>
    <row r="249" ht="14.25" customHeight="1">
      <c r="A249" s="48"/>
      <c r="F249" s="49"/>
    </row>
    <row r="250" ht="14.25" customHeight="1">
      <c r="A250" s="48"/>
      <c r="F250" s="49"/>
    </row>
    <row r="251" ht="14.25" customHeight="1">
      <c r="A251" s="48"/>
      <c r="F251" s="49"/>
    </row>
    <row r="252" ht="14.25" customHeight="1">
      <c r="A252" s="48"/>
      <c r="F252" s="49"/>
    </row>
    <row r="253" ht="14.25" customHeight="1">
      <c r="A253" s="48"/>
      <c r="F253" s="49"/>
    </row>
    <row r="254" ht="14.25" customHeight="1">
      <c r="A254" s="48"/>
      <c r="F254" s="49"/>
    </row>
    <row r="255" ht="14.25" customHeight="1">
      <c r="A255" s="48"/>
      <c r="F255" s="49"/>
    </row>
    <row r="256" ht="14.25" customHeight="1">
      <c r="A256" s="48"/>
      <c r="F256" s="49"/>
    </row>
    <row r="257" ht="14.25" customHeight="1">
      <c r="A257" s="48"/>
      <c r="F257" s="49"/>
    </row>
    <row r="258" ht="14.25" customHeight="1">
      <c r="A258" s="48"/>
      <c r="F258" s="49"/>
    </row>
    <row r="259" ht="14.25" customHeight="1">
      <c r="A259" s="48"/>
      <c r="F259" s="49"/>
    </row>
    <row r="260" ht="14.25" customHeight="1">
      <c r="A260" s="48"/>
      <c r="F260" s="49"/>
    </row>
    <row r="261" ht="14.25" customHeight="1">
      <c r="A261" s="48"/>
      <c r="F261" s="49"/>
    </row>
    <row r="262" ht="14.25" customHeight="1">
      <c r="A262" s="48"/>
      <c r="F262" s="49"/>
    </row>
    <row r="263" ht="14.25" customHeight="1">
      <c r="A263" s="48"/>
      <c r="F263" s="49"/>
    </row>
    <row r="264" ht="14.25" customHeight="1">
      <c r="A264" s="48"/>
      <c r="F264" s="49"/>
    </row>
    <row r="265" ht="14.25" customHeight="1">
      <c r="A265" s="48"/>
      <c r="F265" s="49"/>
    </row>
    <row r="266" ht="14.25" customHeight="1">
      <c r="A266" s="48"/>
      <c r="F266" s="49"/>
    </row>
    <row r="267" ht="14.25" customHeight="1">
      <c r="A267" s="48"/>
      <c r="F267" s="49"/>
    </row>
    <row r="268" ht="14.25" customHeight="1">
      <c r="A268" s="48"/>
      <c r="F268" s="49"/>
    </row>
    <row r="269" ht="14.25" customHeight="1">
      <c r="A269" s="48"/>
      <c r="F269" s="49"/>
    </row>
    <row r="270" ht="14.25" customHeight="1">
      <c r="A270" s="48"/>
      <c r="F270" s="49"/>
    </row>
    <row r="271" ht="14.25" customHeight="1">
      <c r="A271" s="48"/>
      <c r="F271" s="49"/>
    </row>
    <row r="272" ht="14.25" customHeight="1">
      <c r="A272" s="48"/>
      <c r="F272" s="49"/>
    </row>
    <row r="273" ht="14.25" customHeight="1">
      <c r="A273" s="48"/>
      <c r="F273" s="49"/>
    </row>
    <row r="274" ht="14.25" customHeight="1">
      <c r="A274" s="48"/>
      <c r="F274" s="49"/>
    </row>
    <row r="275" ht="14.25" customHeight="1">
      <c r="A275" s="48"/>
      <c r="F275" s="49"/>
    </row>
    <row r="276" ht="14.25" customHeight="1">
      <c r="A276" s="48"/>
      <c r="F276" s="49"/>
    </row>
    <row r="277" ht="14.25" customHeight="1">
      <c r="A277" s="48"/>
      <c r="F277" s="49"/>
    </row>
    <row r="278" ht="14.25" customHeight="1">
      <c r="A278" s="48"/>
      <c r="F278" s="49"/>
    </row>
    <row r="279" ht="14.25" customHeight="1">
      <c r="A279" s="48"/>
      <c r="F279" s="49"/>
    </row>
    <row r="280" ht="14.25" customHeight="1">
      <c r="A280" s="48"/>
      <c r="F280" s="49"/>
    </row>
    <row r="281" ht="14.25" customHeight="1">
      <c r="A281" s="48"/>
      <c r="F281" s="49"/>
    </row>
    <row r="282" ht="14.25" customHeight="1">
      <c r="A282" s="48"/>
      <c r="F282" s="49"/>
    </row>
    <row r="283" ht="14.25" customHeight="1">
      <c r="A283" s="48"/>
      <c r="F283" s="49"/>
    </row>
    <row r="284" ht="14.25" customHeight="1">
      <c r="A284" s="48"/>
      <c r="F284" s="49"/>
    </row>
    <row r="285" ht="14.25" customHeight="1">
      <c r="A285" s="48"/>
      <c r="F285" s="49"/>
    </row>
    <row r="286" ht="14.25" customHeight="1">
      <c r="A286" s="48"/>
      <c r="F286" s="49"/>
    </row>
    <row r="287" ht="14.25" customHeight="1">
      <c r="A287" s="48"/>
      <c r="F287" s="49"/>
    </row>
    <row r="288" ht="14.25" customHeight="1">
      <c r="A288" s="48"/>
      <c r="F288" s="49"/>
    </row>
    <row r="289" ht="14.25" customHeight="1">
      <c r="A289" s="48"/>
      <c r="F289" s="49"/>
    </row>
    <row r="290" ht="14.25" customHeight="1">
      <c r="A290" s="48"/>
      <c r="F290" s="49"/>
    </row>
    <row r="291" ht="14.25" customHeight="1">
      <c r="A291" s="48"/>
      <c r="F291" s="49"/>
    </row>
    <row r="292" ht="14.25" customHeight="1">
      <c r="A292" s="48"/>
      <c r="F292" s="49"/>
    </row>
    <row r="293" ht="14.25" customHeight="1">
      <c r="A293" s="48"/>
      <c r="F293" s="49"/>
    </row>
    <row r="294" ht="14.25" customHeight="1">
      <c r="A294" s="48"/>
      <c r="F294" s="49"/>
    </row>
    <row r="295" ht="14.25" customHeight="1">
      <c r="A295" s="48"/>
      <c r="F295" s="49"/>
    </row>
    <row r="296" ht="14.25" customHeight="1">
      <c r="A296" s="48"/>
      <c r="F296" s="49"/>
    </row>
    <row r="297" ht="14.25" customHeight="1">
      <c r="A297" s="48"/>
      <c r="F297" s="49"/>
    </row>
    <row r="298" ht="14.25" customHeight="1">
      <c r="A298" s="48"/>
      <c r="F298" s="49"/>
    </row>
    <row r="299" ht="14.25" customHeight="1">
      <c r="A299" s="48"/>
      <c r="F299" s="49"/>
    </row>
    <row r="300" ht="14.25" customHeight="1">
      <c r="A300" s="48"/>
      <c r="F300" s="49"/>
    </row>
    <row r="301" ht="14.25" customHeight="1">
      <c r="A301" s="48"/>
      <c r="F301" s="49"/>
    </row>
    <row r="302" ht="14.25" customHeight="1">
      <c r="A302" s="48"/>
      <c r="F302" s="49"/>
    </row>
    <row r="303" ht="14.25" customHeight="1">
      <c r="A303" s="48"/>
      <c r="F303" s="49"/>
    </row>
    <row r="304" ht="14.25" customHeight="1">
      <c r="A304" s="48"/>
      <c r="F304" s="49"/>
    </row>
    <row r="305" ht="14.25" customHeight="1">
      <c r="A305" s="48"/>
      <c r="F305" s="49"/>
    </row>
    <row r="306" ht="14.25" customHeight="1">
      <c r="A306" s="48"/>
      <c r="F306" s="49"/>
    </row>
    <row r="307" ht="14.25" customHeight="1">
      <c r="A307" s="48"/>
      <c r="F307" s="49"/>
    </row>
    <row r="308" ht="14.25" customHeight="1">
      <c r="A308" s="48"/>
      <c r="F308" s="49"/>
    </row>
    <row r="309" ht="14.25" customHeight="1">
      <c r="A309" s="48"/>
      <c r="F309" s="49"/>
    </row>
    <row r="310" ht="14.25" customHeight="1">
      <c r="A310" s="48"/>
      <c r="F310" s="49"/>
    </row>
    <row r="311" ht="14.25" customHeight="1">
      <c r="A311" s="48"/>
      <c r="F311" s="49"/>
    </row>
    <row r="312" ht="14.25" customHeight="1">
      <c r="A312" s="48"/>
      <c r="F312" s="49"/>
    </row>
    <row r="313" ht="14.25" customHeight="1">
      <c r="A313" s="48"/>
      <c r="F313" s="49"/>
    </row>
    <row r="314" ht="14.25" customHeight="1">
      <c r="A314" s="48"/>
      <c r="F314" s="49"/>
    </row>
    <row r="315" ht="14.25" customHeight="1">
      <c r="A315" s="48"/>
      <c r="F315" s="49"/>
    </row>
    <row r="316" ht="14.25" customHeight="1">
      <c r="A316" s="48"/>
      <c r="F316" s="49"/>
    </row>
    <row r="317" ht="14.25" customHeight="1">
      <c r="A317" s="48"/>
      <c r="F317" s="49"/>
    </row>
    <row r="318" ht="14.25" customHeight="1">
      <c r="A318" s="48"/>
      <c r="F318" s="49"/>
    </row>
    <row r="319" ht="14.25" customHeight="1">
      <c r="A319" s="48"/>
      <c r="F319" s="49"/>
    </row>
    <row r="320" ht="14.25" customHeight="1">
      <c r="A320" s="48"/>
      <c r="F320" s="49"/>
    </row>
    <row r="321" ht="14.25" customHeight="1">
      <c r="A321" s="48"/>
      <c r="F321" s="49"/>
    </row>
    <row r="322" ht="14.25" customHeight="1">
      <c r="A322" s="48"/>
      <c r="F322" s="49"/>
    </row>
    <row r="323" ht="14.25" customHeight="1">
      <c r="A323" s="48"/>
      <c r="F323" s="49"/>
    </row>
    <row r="324" ht="14.25" customHeight="1">
      <c r="A324" s="48"/>
      <c r="F324" s="49"/>
    </row>
    <row r="325" ht="14.25" customHeight="1">
      <c r="A325" s="48"/>
      <c r="F325" s="49"/>
    </row>
    <row r="326" ht="14.25" customHeight="1">
      <c r="A326" s="48"/>
      <c r="F326" s="49"/>
    </row>
    <row r="327" ht="14.25" customHeight="1">
      <c r="A327" s="48"/>
      <c r="F327" s="49"/>
    </row>
    <row r="328" ht="14.25" customHeight="1">
      <c r="A328" s="48"/>
      <c r="F328" s="49"/>
    </row>
    <row r="329" ht="14.25" customHeight="1">
      <c r="A329" s="48"/>
      <c r="F329" s="49"/>
    </row>
    <row r="330" ht="14.25" customHeight="1">
      <c r="A330" s="48"/>
      <c r="F330" s="49"/>
    </row>
    <row r="331" ht="14.25" customHeight="1">
      <c r="A331" s="48"/>
      <c r="F331" s="49"/>
    </row>
    <row r="332" ht="14.25" customHeight="1">
      <c r="A332" s="48"/>
      <c r="F332" s="49"/>
    </row>
    <row r="333" ht="14.25" customHeight="1">
      <c r="A333" s="48"/>
      <c r="F333" s="49"/>
    </row>
    <row r="334" ht="14.25" customHeight="1">
      <c r="A334" s="48"/>
      <c r="F334" s="49"/>
    </row>
    <row r="335" ht="14.25" customHeight="1">
      <c r="A335" s="48"/>
      <c r="F335" s="49"/>
    </row>
    <row r="336" ht="14.25" customHeight="1">
      <c r="A336" s="48"/>
      <c r="F336" s="49"/>
    </row>
    <row r="337" ht="14.25" customHeight="1">
      <c r="A337" s="48"/>
      <c r="F337" s="49"/>
    </row>
    <row r="338" ht="14.25" customHeight="1">
      <c r="A338" s="48"/>
      <c r="F338" s="49"/>
    </row>
    <row r="339" ht="14.25" customHeight="1">
      <c r="A339" s="48"/>
      <c r="F339" s="49"/>
    </row>
    <row r="340" ht="14.25" customHeight="1">
      <c r="A340" s="48"/>
      <c r="F340" s="49"/>
    </row>
    <row r="341" ht="14.25" customHeight="1">
      <c r="A341" s="48"/>
      <c r="F341" s="49"/>
    </row>
    <row r="342" ht="14.25" customHeight="1">
      <c r="A342" s="48"/>
      <c r="F342" s="49"/>
    </row>
    <row r="343" ht="14.25" customHeight="1">
      <c r="A343" s="48"/>
      <c r="F343" s="49"/>
    </row>
    <row r="344" ht="14.25" customHeight="1">
      <c r="A344" s="48"/>
      <c r="F344" s="49"/>
    </row>
    <row r="345" ht="14.25" customHeight="1">
      <c r="A345" s="48"/>
      <c r="F345" s="49"/>
    </row>
    <row r="346" ht="14.25" customHeight="1">
      <c r="A346" s="48"/>
      <c r="F346" s="49"/>
    </row>
    <row r="347" ht="14.25" customHeight="1">
      <c r="A347" s="48"/>
      <c r="F347" s="49"/>
    </row>
    <row r="348" ht="14.25" customHeight="1">
      <c r="A348" s="48"/>
      <c r="F348" s="49"/>
    </row>
    <row r="349" ht="14.25" customHeight="1">
      <c r="A349" s="48"/>
      <c r="F349" s="49"/>
    </row>
    <row r="350" ht="14.25" customHeight="1">
      <c r="A350" s="48"/>
      <c r="F350" s="49"/>
    </row>
    <row r="351" ht="14.25" customHeight="1">
      <c r="A351" s="48"/>
      <c r="F351" s="49"/>
    </row>
    <row r="352" ht="14.25" customHeight="1">
      <c r="A352" s="48"/>
      <c r="F352" s="49"/>
    </row>
    <row r="353" ht="14.25" customHeight="1">
      <c r="A353" s="48"/>
      <c r="F353" s="49"/>
    </row>
    <row r="354" ht="14.25" customHeight="1">
      <c r="A354" s="48"/>
      <c r="F354" s="49"/>
    </row>
    <row r="355" ht="14.25" customHeight="1">
      <c r="A355" s="48"/>
      <c r="F355" s="49"/>
    </row>
    <row r="356" ht="14.25" customHeight="1">
      <c r="A356" s="48"/>
      <c r="F356" s="49"/>
    </row>
    <row r="357" ht="14.25" customHeight="1">
      <c r="A357" s="48"/>
      <c r="F357" s="49"/>
    </row>
    <row r="358" ht="14.25" customHeight="1">
      <c r="A358" s="48"/>
      <c r="F358" s="49"/>
    </row>
    <row r="359" ht="14.25" customHeight="1">
      <c r="A359" s="48"/>
      <c r="F359" s="49"/>
    </row>
    <row r="360" ht="14.25" customHeight="1">
      <c r="A360" s="48"/>
      <c r="F360" s="49"/>
    </row>
    <row r="361" ht="14.25" customHeight="1">
      <c r="A361" s="48"/>
      <c r="F361" s="49"/>
    </row>
    <row r="362" ht="14.25" customHeight="1">
      <c r="A362" s="48"/>
      <c r="F362" s="49"/>
    </row>
    <row r="363" ht="14.25" customHeight="1">
      <c r="A363" s="48"/>
      <c r="F363" s="49"/>
    </row>
    <row r="364" ht="14.25" customHeight="1">
      <c r="A364" s="48"/>
      <c r="F364" s="49"/>
    </row>
    <row r="365" ht="14.25" customHeight="1">
      <c r="A365" s="48"/>
      <c r="F365" s="49"/>
    </row>
    <row r="366" ht="14.25" customHeight="1">
      <c r="A366" s="48"/>
      <c r="F366" s="49"/>
    </row>
    <row r="367" ht="14.25" customHeight="1">
      <c r="A367" s="48"/>
      <c r="F367" s="49"/>
    </row>
    <row r="368" ht="14.25" customHeight="1">
      <c r="A368" s="48"/>
      <c r="F368" s="49"/>
    </row>
    <row r="369" ht="14.25" customHeight="1">
      <c r="A369" s="48"/>
      <c r="F369" s="49"/>
    </row>
    <row r="370" ht="14.25" customHeight="1">
      <c r="A370" s="48"/>
      <c r="F370" s="49"/>
    </row>
    <row r="371" ht="14.25" customHeight="1">
      <c r="A371" s="48"/>
      <c r="F371" s="49"/>
    </row>
    <row r="372" ht="14.25" customHeight="1">
      <c r="A372" s="48"/>
      <c r="F372" s="49"/>
    </row>
    <row r="373" ht="14.25" customHeight="1">
      <c r="A373" s="48"/>
      <c r="F373" s="49"/>
    </row>
    <row r="374" ht="14.25" customHeight="1">
      <c r="A374" s="48"/>
      <c r="F374" s="49"/>
    </row>
    <row r="375" ht="14.25" customHeight="1">
      <c r="A375" s="48"/>
      <c r="F375" s="49"/>
    </row>
    <row r="376" ht="14.25" customHeight="1">
      <c r="A376" s="48"/>
      <c r="F376" s="49"/>
    </row>
    <row r="377" ht="14.25" customHeight="1">
      <c r="A377" s="48"/>
      <c r="F377" s="49"/>
    </row>
    <row r="378" ht="14.25" customHeight="1">
      <c r="A378" s="48"/>
      <c r="F378" s="49"/>
    </row>
    <row r="379" ht="14.25" customHeight="1">
      <c r="A379" s="48"/>
      <c r="F379" s="49"/>
    </row>
    <row r="380" ht="14.25" customHeight="1">
      <c r="A380" s="48"/>
      <c r="F380" s="49"/>
    </row>
    <row r="381" ht="14.25" customHeight="1">
      <c r="A381" s="48"/>
      <c r="F381" s="49"/>
    </row>
    <row r="382" ht="14.25" customHeight="1">
      <c r="A382" s="48"/>
      <c r="F382" s="49"/>
    </row>
    <row r="383" ht="14.25" customHeight="1">
      <c r="A383" s="48"/>
      <c r="F383" s="49"/>
    </row>
    <row r="384" ht="14.25" customHeight="1">
      <c r="A384" s="48"/>
      <c r="F384" s="49"/>
    </row>
    <row r="385" ht="14.25" customHeight="1">
      <c r="A385" s="48"/>
      <c r="F385" s="49"/>
    </row>
    <row r="386" ht="14.25" customHeight="1">
      <c r="A386" s="48"/>
      <c r="F386" s="49"/>
    </row>
    <row r="387" ht="14.25" customHeight="1">
      <c r="A387" s="48"/>
      <c r="F387" s="49"/>
    </row>
    <row r="388" ht="14.25" customHeight="1">
      <c r="A388" s="48"/>
      <c r="F388" s="49"/>
    </row>
    <row r="389" ht="14.25" customHeight="1">
      <c r="A389" s="48"/>
      <c r="F389" s="49"/>
    </row>
    <row r="390" ht="14.25" customHeight="1">
      <c r="A390" s="48"/>
      <c r="F390" s="49"/>
    </row>
    <row r="391" ht="14.25" customHeight="1">
      <c r="A391" s="48"/>
      <c r="F391" s="49"/>
    </row>
    <row r="392" ht="14.25" customHeight="1">
      <c r="A392" s="48"/>
      <c r="F392" s="49"/>
    </row>
    <row r="393" ht="14.25" customHeight="1">
      <c r="A393" s="48"/>
      <c r="F393" s="49"/>
    </row>
    <row r="394" ht="14.25" customHeight="1">
      <c r="A394" s="48"/>
      <c r="F394" s="49"/>
    </row>
    <row r="395" ht="14.25" customHeight="1">
      <c r="A395" s="48"/>
      <c r="F395" s="49"/>
    </row>
    <row r="396" ht="14.25" customHeight="1">
      <c r="A396" s="48"/>
      <c r="F396" s="49"/>
    </row>
    <row r="397" ht="14.25" customHeight="1">
      <c r="A397" s="48"/>
      <c r="F397" s="49"/>
    </row>
    <row r="398" ht="14.25" customHeight="1">
      <c r="A398" s="48"/>
      <c r="F398" s="49"/>
    </row>
    <row r="399" ht="14.25" customHeight="1">
      <c r="A399" s="48"/>
      <c r="F399" s="49"/>
    </row>
    <row r="400" ht="14.25" customHeight="1">
      <c r="A400" s="48"/>
      <c r="F400" s="49"/>
    </row>
    <row r="401" ht="14.25" customHeight="1">
      <c r="A401" s="48"/>
      <c r="F401" s="49"/>
    </row>
    <row r="402" ht="14.25" customHeight="1">
      <c r="A402" s="48"/>
      <c r="F402" s="49"/>
    </row>
    <row r="403" ht="14.25" customHeight="1">
      <c r="A403" s="48"/>
      <c r="F403" s="49"/>
    </row>
    <row r="404" ht="14.25" customHeight="1">
      <c r="A404" s="48"/>
      <c r="F404" s="49"/>
    </row>
    <row r="405" ht="14.25" customHeight="1">
      <c r="A405" s="48"/>
      <c r="F405" s="49"/>
    </row>
    <row r="406" ht="14.25" customHeight="1">
      <c r="A406" s="48"/>
      <c r="F406" s="49"/>
    </row>
    <row r="407" ht="14.25" customHeight="1">
      <c r="A407" s="48"/>
      <c r="F407" s="49"/>
    </row>
    <row r="408" ht="14.25" customHeight="1">
      <c r="A408" s="48"/>
      <c r="F408" s="49"/>
    </row>
    <row r="409" ht="14.25" customHeight="1">
      <c r="A409" s="48"/>
      <c r="F409" s="49"/>
    </row>
    <row r="410" ht="14.25" customHeight="1">
      <c r="A410" s="48"/>
      <c r="F410" s="49"/>
    </row>
    <row r="411" ht="14.25" customHeight="1">
      <c r="A411" s="48"/>
      <c r="F411" s="49"/>
    </row>
    <row r="412" ht="14.25" customHeight="1">
      <c r="A412" s="48"/>
      <c r="F412" s="49"/>
    </row>
    <row r="413" ht="14.25" customHeight="1">
      <c r="A413" s="48"/>
      <c r="F413" s="49"/>
    </row>
    <row r="414" ht="14.25" customHeight="1">
      <c r="A414" s="48"/>
      <c r="F414" s="49"/>
    </row>
    <row r="415" ht="14.25" customHeight="1">
      <c r="A415" s="48"/>
      <c r="F415" s="49"/>
    </row>
    <row r="416" ht="14.25" customHeight="1">
      <c r="A416" s="48"/>
      <c r="F416" s="49"/>
    </row>
    <row r="417" ht="14.25" customHeight="1">
      <c r="A417" s="48"/>
      <c r="F417" s="49"/>
    </row>
    <row r="418" ht="14.25" customHeight="1">
      <c r="A418" s="48"/>
      <c r="F418" s="49"/>
    </row>
    <row r="419" ht="14.25" customHeight="1">
      <c r="A419" s="48"/>
      <c r="F419" s="49"/>
    </row>
    <row r="420" ht="14.25" customHeight="1">
      <c r="A420" s="48"/>
      <c r="F420" s="49"/>
    </row>
    <row r="421" ht="14.25" customHeight="1">
      <c r="A421" s="48"/>
      <c r="F421" s="49"/>
    </row>
    <row r="422" ht="14.25" customHeight="1">
      <c r="A422" s="48"/>
      <c r="F422" s="49"/>
    </row>
    <row r="423" ht="14.25" customHeight="1">
      <c r="A423" s="48"/>
      <c r="F423" s="49"/>
    </row>
    <row r="424" ht="14.25" customHeight="1">
      <c r="A424" s="48"/>
      <c r="F424" s="49"/>
    </row>
    <row r="425" ht="14.25" customHeight="1">
      <c r="A425" s="48"/>
      <c r="F425" s="49"/>
    </row>
    <row r="426" ht="14.25" customHeight="1">
      <c r="A426" s="48"/>
      <c r="F426" s="49"/>
    </row>
    <row r="427" ht="14.25" customHeight="1">
      <c r="A427" s="48"/>
      <c r="F427" s="49"/>
    </row>
    <row r="428" ht="14.25" customHeight="1">
      <c r="A428" s="48"/>
      <c r="F428" s="49"/>
    </row>
    <row r="429" ht="14.25" customHeight="1">
      <c r="A429" s="48"/>
      <c r="F429" s="49"/>
    </row>
    <row r="430" ht="14.25" customHeight="1">
      <c r="A430" s="48"/>
      <c r="F430" s="49"/>
    </row>
    <row r="431" ht="14.25" customHeight="1">
      <c r="A431" s="48"/>
      <c r="F431" s="49"/>
    </row>
    <row r="432" ht="14.25" customHeight="1">
      <c r="A432" s="48"/>
      <c r="F432" s="49"/>
    </row>
    <row r="433" ht="14.25" customHeight="1">
      <c r="A433" s="48"/>
      <c r="F433" s="49"/>
    </row>
    <row r="434" ht="14.25" customHeight="1">
      <c r="A434" s="48"/>
      <c r="F434" s="49"/>
    </row>
    <row r="435" ht="14.25" customHeight="1">
      <c r="A435" s="48"/>
      <c r="F435" s="49"/>
    </row>
    <row r="436" ht="14.25" customHeight="1">
      <c r="A436" s="48"/>
      <c r="F436" s="49"/>
    </row>
    <row r="437" ht="14.25" customHeight="1">
      <c r="A437" s="48"/>
      <c r="F437" s="49"/>
    </row>
    <row r="438" ht="14.25" customHeight="1">
      <c r="A438" s="48"/>
      <c r="F438" s="49"/>
    </row>
    <row r="439" ht="14.25" customHeight="1">
      <c r="A439" s="48"/>
      <c r="F439" s="49"/>
    </row>
    <row r="440" ht="14.25" customHeight="1">
      <c r="A440" s="48"/>
      <c r="F440" s="49"/>
    </row>
    <row r="441" ht="14.25" customHeight="1">
      <c r="A441" s="48"/>
      <c r="F441" s="49"/>
    </row>
    <row r="442" ht="14.25" customHeight="1">
      <c r="A442" s="48"/>
      <c r="F442" s="49"/>
    </row>
    <row r="443" ht="14.25" customHeight="1">
      <c r="A443" s="48"/>
      <c r="F443" s="49"/>
    </row>
    <row r="444" ht="14.25" customHeight="1">
      <c r="A444" s="48"/>
      <c r="F444" s="49"/>
    </row>
    <row r="445" ht="14.25" customHeight="1">
      <c r="A445" s="48"/>
      <c r="F445" s="49"/>
    </row>
    <row r="446" ht="14.25" customHeight="1">
      <c r="A446" s="48"/>
      <c r="F446" s="49"/>
    </row>
    <row r="447" ht="14.25" customHeight="1">
      <c r="A447" s="48"/>
      <c r="F447" s="49"/>
    </row>
    <row r="448" ht="14.25" customHeight="1">
      <c r="A448" s="48"/>
      <c r="F448" s="49"/>
    </row>
    <row r="449" ht="14.25" customHeight="1">
      <c r="A449" s="48"/>
      <c r="F449" s="49"/>
    </row>
    <row r="450" ht="14.25" customHeight="1">
      <c r="A450" s="48"/>
      <c r="F450" s="49"/>
    </row>
    <row r="451" ht="14.25" customHeight="1">
      <c r="A451" s="48"/>
      <c r="F451" s="49"/>
    </row>
    <row r="452" ht="14.25" customHeight="1">
      <c r="A452" s="48"/>
      <c r="F452" s="49"/>
    </row>
    <row r="453" ht="14.25" customHeight="1">
      <c r="A453" s="48"/>
      <c r="F453" s="49"/>
    </row>
    <row r="454" ht="14.25" customHeight="1">
      <c r="A454" s="48"/>
      <c r="F454" s="49"/>
    </row>
    <row r="455" ht="14.25" customHeight="1">
      <c r="A455" s="48"/>
      <c r="F455" s="49"/>
    </row>
    <row r="456" ht="14.25" customHeight="1">
      <c r="A456" s="48"/>
      <c r="F456" s="49"/>
    </row>
    <row r="457" ht="14.25" customHeight="1">
      <c r="A457" s="48"/>
      <c r="F457" s="49"/>
    </row>
    <row r="458" ht="14.25" customHeight="1">
      <c r="A458" s="48"/>
      <c r="F458" s="49"/>
    </row>
    <row r="459" ht="14.25" customHeight="1">
      <c r="A459" s="48"/>
      <c r="F459" s="49"/>
    </row>
    <row r="460" ht="14.25" customHeight="1">
      <c r="A460" s="48"/>
      <c r="F460" s="49"/>
    </row>
    <row r="461" ht="14.25" customHeight="1">
      <c r="A461" s="48"/>
      <c r="F461" s="49"/>
    </row>
    <row r="462" ht="14.25" customHeight="1">
      <c r="A462" s="48"/>
      <c r="F462" s="49"/>
    </row>
    <row r="463" ht="14.25" customHeight="1">
      <c r="A463" s="48"/>
      <c r="F463" s="49"/>
    </row>
    <row r="464" ht="14.25" customHeight="1">
      <c r="A464" s="48"/>
      <c r="F464" s="49"/>
    </row>
    <row r="465" ht="14.25" customHeight="1">
      <c r="A465" s="48"/>
      <c r="F465" s="49"/>
    </row>
    <row r="466" ht="14.25" customHeight="1">
      <c r="A466" s="48"/>
      <c r="F466" s="49"/>
    </row>
    <row r="467" ht="14.25" customHeight="1">
      <c r="A467" s="48"/>
      <c r="F467" s="49"/>
    </row>
    <row r="468" ht="14.25" customHeight="1">
      <c r="A468" s="48"/>
      <c r="F468" s="49"/>
    </row>
    <row r="469" ht="14.25" customHeight="1">
      <c r="A469" s="48"/>
      <c r="F469" s="49"/>
    </row>
    <row r="470" ht="14.25" customHeight="1">
      <c r="A470" s="48"/>
      <c r="F470" s="49"/>
    </row>
    <row r="471" ht="14.25" customHeight="1">
      <c r="A471" s="48"/>
      <c r="F471" s="49"/>
    </row>
    <row r="472" ht="14.25" customHeight="1">
      <c r="A472" s="48"/>
      <c r="F472" s="49"/>
    </row>
    <row r="473" ht="14.25" customHeight="1">
      <c r="A473" s="48"/>
      <c r="F473" s="49"/>
    </row>
    <row r="474" ht="14.25" customHeight="1">
      <c r="A474" s="48"/>
      <c r="F474" s="49"/>
    </row>
    <row r="475" ht="14.25" customHeight="1">
      <c r="A475" s="48"/>
      <c r="F475" s="49"/>
    </row>
    <row r="476" ht="14.25" customHeight="1">
      <c r="A476" s="48"/>
      <c r="F476" s="49"/>
    </row>
    <row r="477" ht="14.25" customHeight="1">
      <c r="A477" s="48"/>
      <c r="F477" s="49"/>
    </row>
    <row r="478" ht="14.25" customHeight="1">
      <c r="A478" s="48"/>
      <c r="F478" s="49"/>
    </row>
    <row r="479" ht="14.25" customHeight="1">
      <c r="A479" s="48"/>
      <c r="F479" s="49"/>
    </row>
    <row r="480" ht="14.25" customHeight="1">
      <c r="A480" s="48"/>
      <c r="F480" s="49"/>
    </row>
    <row r="481" ht="14.25" customHeight="1">
      <c r="A481" s="48"/>
      <c r="F481" s="49"/>
    </row>
    <row r="482" ht="14.25" customHeight="1">
      <c r="A482" s="48"/>
      <c r="F482" s="49"/>
    </row>
    <row r="483" ht="14.25" customHeight="1">
      <c r="A483" s="48"/>
      <c r="F483" s="49"/>
    </row>
    <row r="484" ht="14.25" customHeight="1">
      <c r="A484" s="48"/>
      <c r="F484" s="49"/>
    </row>
    <row r="485" ht="14.25" customHeight="1">
      <c r="A485" s="48"/>
      <c r="F485" s="49"/>
    </row>
    <row r="486" ht="14.25" customHeight="1">
      <c r="A486" s="48"/>
      <c r="F486" s="49"/>
    </row>
    <row r="487" ht="14.25" customHeight="1">
      <c r="A487" s="48"/>
      <c r="F487" s="49"/>
    </row>
    <row r="488" ht="14.25" customHeight="1">
      <c r="A488" s="48"/>
      <c r="F488" s="49"/>
    </row>
    <row r="489" ht="14.25" customHeight="1">
      <c r="A489" s="48"/>
      <c r="F489" s="49"/>
    </row>
    <row r="490" ht="14.25" customHeight="1">
      <c r="A490" s="48"/>
      <c r="F490" s="49"/>
    </row>
    <row r="491" ht="14.25" customHeight="1">
      <c r="A491" s="48"/>
      <c r="F491" s="49"/>
    </row>
    <row r="492" ht="14.25" customHeight="1">
      <c r="A492" s="48"/>
      <c r="F492" s="49"/>
    </row>
    <row r="493" ht="14.25" customHeight="1">
      <c r="A493" s="48"/>
      <c r="F493" s="49"/>
    </row>
    <row r="494" ht="14.25" customHeight="1">
      <c r="A494" s="48"/>
      <c r="F494" s="49"/>
    </row>
    <row r="495" ht="14.25" customHeight="1">
      <c r="A495" s="48"/>
      <c r="F495" s="49"/>
    </row>
    <row r="496" ht="14.25" customHeight="1">
      <c r="A496" s="48"/>
      <c r="F496" s="49"/>
    </row>
    <row r="497" ht="14.25" customHeight="1">
      <c r="A497" s="48"/>
      <c r="F497" s="49"/>
    </row>
    <row r="498" ht="14.25" customHeight="1">
      <c r="A498" s="48"/>
      <c r="F498" s="49"/>
    </row>
    <row r="499" ht="14.25" customHeight="1">
      <c r="A499" s="48"/>
      <c r="F499" s="49"/>
    </row>
    <row r="500" ht="14.25" customHeight="1">
      <c r="A500" s="48"/>
      <c r="F500" s="49"/>
    </row>
    <row r="501" ht="14.25" customHeight="1">
      <c r="A501" s="48"/>
      <c r="F501" s="49"/>
    </row>
    <row r="502" ht="14.25" customHeight="1">
      <c r="A502" s="48"/>
      <c r="F502" s="49"/>
    </row>
    <row r="503" ht="14.25" customHeight="1">
      <c r="A503" s="48"/>
      <c r="F503" s="49"/>
    </row>
    <row r="504" ht="14.25" customHeight="1">
      <c r="A504" s="48"/>
      <c r="F504" s="49"/>
    </row>
    <row r="505" ht="14.25" customHeight="1">
      <c r="A505" s="48"/>
      <c r="F505" s="49"/>
    </row>
    <row r="506" ht="14.25" customHeight="1">
      <c r="A506" s="48"/>
      <c r="F506" s="49"/>
    </row>
    <row r="507" ht="14.25" customHeight="1">
      <c r="A507" s="48"/>
      <c r="F507" s="49"/>
    </row>
    <row r="508" ht="14.25" customHeight="1">
      <c r="A508" s="48"/>
      <c r="F508" s="49"/>
    </row>
    <row r="509" ht="14.25" customHeight="1">
      <c r="A509" s="48"/>
      <c r="F509" s="49"/>
    </row>
    <row r="510" ht="14.25" customHeight="1">
      <c r="A510" s="48"/>
      <c r="F510" s="49"/>
    </row>
    <row r="511" ht="14.25" customHeight="1">
      <c r="A511" s="48"/>
      <c r="F511" s="49"/>
    </row>
    <row r="512" ht="14.25" customHeight="1">
      <c r="A512" s="48"/>
      <c r="F512" s="49"/>
    </row>
    <row r="513" ht="14.25" customHeight="1">
      <c r="A513" s="48"/>
      <c r="F513" s="49"/>
    </row>
    <row r="514" ht="14.25" customHeight="1">
      <c r="A514" s="48"/>
      <c r="F514" s="49"/>
    </row>
    <row r="515" ht="14.25" customHeight="1">
      <c r="A515" s="48"/>
      <c r="F515" s="49"/>
    </row>
    <row r="516" ht="14.25" customHeight="1">
      <c r="A516" s="48"/>
      <c r="F516" s="49"/>
    </row>
    <row r="517" ht="14.25" customHeight="1">
      <c r="A517" s="48"/>
      <c r="F517" s="49"/>
    </row>
    <row r="518" ht="14.25" customHeight="1">
      <c r="A518" s="48"/>
      <c r="F518" s="49"/>
    </row>
    <row r="519" ht="14.25" customHeight="1">
      <c r="A519" s="48"/>
      <c r="F519" s="49"/>
    </row>
    <row r="520" ht="14.25" customHeight="1">
      <c r="A520" s="48"/>
      <c r="F520" s="49"/>
    </row>
    <row r="521" ht="14.25" customHeight="1">
      <c r="A521" s="48"/>
      <c r="F521" s="49"/>
    </row>
    <row r="522" ht="14.25" customHeight="1">
      <c r="A522" s="48"/>
      <c r="F522" s="49"/>
    </row>
    <row r="523" ht="14.25" customHeight="1">
      <c r="A523" s="48"/>
      <c r="F523" s="49"/>
    </row>
    <row r="524" ht="14.25" customHeight="1">
      <c r="A524" s="48"/>
      <c r="F524" s="49"/>
    </row>
    <row r="525" ht="14.25" customHeight="1">
      <c r="A525" s="48"/>
      <c r="F525" s="49"/>
    </row>
    <row r="526" ht="14.25" customHeight="1">
      <c r="A526" s="48"/>
      <c r="F526" s="49"/>
    </row>
    <row r="527" ht="14.25" customHeight="1">
      <c r="A527" s="48"/>
      <c r="F527" s="49"/>
    </row>
    <row r="528" ht="14.25" customHeight="1">
      <c r="A528" s="48"/>
      <c r="F528" s="49"/>
    </row>
    <row r="529" ht="14.25" customHeight="1">
      <c r="A529" s="48"/>
      <c r="F529" s="49"/>
    </row>
    <row r="530" ht="14.25" customHeight="1">
      <c r="A530" s="48"/>
      <c r="F530" s="49"/>
    </row>
    <row r="531" ht="14.25" customHeight="1">
      <c r="A531" s="48"/>
      <c r="F531" s="49"/>
    </row>
    <row r="532" ht="14.25" customHeight="1">
      <c r="A532" s="48"/>
      <c r="F532" s="49"/>
    </row>
    <row r="533" ht="14.25" customHeight="1">
      <c r="A533" s="48"/>
      <c r="F533" s="49"/>
    </row>
    <row r="534" ht="14.25" customHeight="1">
      <c r="A534" s="48"/>
      <c r="F534" s="49"/>
    </row>
    <row r="535" ht="14.25" customHeight="1">
      <c r="A535" s="48"/>
      <c r="F535" s="49"/>
    </row>
    <row r="536" ht="14.25" customHeight="1">
      <c r="A536" s="48"/>
      <c r="F536" s="49"/>
    </row>
    <row r="537" ht="14.25" customHeight="1">
      <c r="A537" s="48"/>
      <c r="F537" s="49"/>
    </row>
    <row r="538" ht="14.25" customHeight="1">
      <c r="A538" s="48"/>
      <c r="F538" s="49"/>
    </row>
    <row r="539" ht="14.25" customHeight="1">
      <c r="A539" s="48"/>
      <c r="F539" s="49"/>
    </row>
    <row r="540" ht="14.25" customHeight="1">
      <c r="A540" s="48"/>
      <c r="F540" s="49"/>
    </row>
    <row r="541" ht="14.25" customHeight="1">
      <c r="A541" s="48"/>
      <c r="F541" s="49"/>
    </row>
    <row r="542" ht="14.25" customHeight="1">
      <c r="A542" s="48"/>
      <c r="F542" s="49"/>
    </row>
    <row r="543" ht="14.25" customHeight="1">
      <c r="A543" s="48"/>
      <c r="F543" s="49"/>
    </row>
    <row r="544" ht="14.25" customHeight="1">
      <c r="A544" s="48"/>
      <c r="F544" s="49"/>
    </row>
    <row r="545" ht="14.25" customHeight="1">
      <c r="A545" s="48"/>
      <c r="F545" s="49"/>
    </row>
    <row r="546" ht="14.25" customHeight="1">
      <c r="A546" s="48"/>
      <c r="F546" s="49"/>
    </row>
    <row r="547" ht="14.25" customHeight="1">
      <c r="A547" s="48"/>
      <c r="F547" s="49"/>
    </row>
    <row r="548" ht="14.25" customHeight="1">
      <c r="A548" s="48"/>
      <c r="F548" s="49"/>
    </row>
    <row r="549" ht="14.25" customHeight="1">
      <c r="A549" s="48"/>
      <c r="F549" s="49"/>
    </row>
    <row r="550" ht="14.25" customHeight="1">
      <c r="A550" s="48"/>
      <c r="F550" s="49"/>
    </row>
    <row r="551" ht="14.25" customHeight="1">
      <c r="A551" s="48"/>
      <c r="F551" s="49"/>
    </row>
    <row r="552" ht="14.25" customHeight="1">
      <c r="A552" s="48"/>
      <c r="F552" s="49"/>
    </row>
    <row r="553" ht="14.25" customHeight="1">
      <c r="A553" s="48"/>
      <c r="F553" s="49"/>
    </row>
    <row r="554" ht="14.25" customHeight="1">
      <c r="A554" s="48"/>
      <c r="F554" s="49"/>
    </row>
    <row r="555" ht="14.25" customHeight="1">
      <c r="A555" s="48"/>
      <c r="F555" s="49"/>
    </row>
    <row r="556" ht="14.25" customHeight="1">
      <c r="A556" s="48"/>
      <c r="F556" s="49"/>
    </row>
    <row r="557" ht="14.25" customHeight="1">
      <c r="A557" s="48"/>
      <c r="F557" s="49"/>
    </row>
    <row r="558" ht="14.25" customHeight="1">
      <c r="A558" s="48"/>
      <c r="F558" s="49"/>
    </row>
    <row r="559" ht="14.25" customHeight="1">
      <c r="A559" s="48"/>
      <c r="F559" s="49"/>
    </row>
    <row r="560" ht="14.25" customHeight="1">
      <c r="A560" s="48"/>
      <c r="F560" s="49"/>
    </row>
    <row r="561" ht="14.25" customHeight="1">
      <c r="A561" s="48"/>
      <c r="F561" s="49"/>
    </row>
    <row r="562" ht="14.25" customHeight="1">
      <c r="A562" s="48"/>
      <c r="F562" s="49"/>
    </row>
    <row r="563" ht="14.25" customHeight="1">
      <c r="A563" s="48"/>
      <c r="F563" s="49"/>
    </row>
    <row r="564" ht="14.25" customHeight="1">
      <c r="A564" s="48"/>
      <c r="F564" s="49"/>
    </row>
    <row r="565" ht="14.25" customHeight="1">
      <c r="A565" s="48"/>
      <c r="F565" s="49"/>
    </row>
    <row r="566" ht="14.25" customHeight="1">
      <c r="A566" s="48"/>
      <c r="F566" s="49"/>
    </row>
    <row r="567" ht="14.25" customHeight="1">
      <c r="A567" s="48"/>
      <c r="F567" s="49"/>
    </row>
    <row r="568" ht="14.25" customHeight="1">
      <c r="A568" s="48"/>
      <c r="F568" s="49"/>
    </row>
    <row r="569" ht="14.25" customHeight="1">
      <c r="A569" s="48"/>
      <c r="F569" s="49"/>
    </row>
    <row r="570" ht="14.25" customHeight="1">
      <c r="A570" s="48"/>
      <c r="F570" s="49"/>
    </row>
    <row r="571" ht="14.25" customHeight="1">
      <c r="A571" s="48"/>
      <c r="F571" s="49"/>
    </row>
    <row r="572" ht="14.25" customHeight="1">
      <c r="A572" s="48"/>
      <c r="F572" s="49"/>
    </row>
    <row r="573" ht="14.25" customHeight="1">
      <c r="A573" s="48"/>
      <c r="F573" s="49"/>
    </row>
    <row r="574" ht="14.25" customHeight="1">
      <c r="A574" s="48"/>
      <c r="F574" s="49"/>
    </row>
    <row r="575" ht="14.25" customHeight="1">
      <c r="A575" s="48"/>
      <c r="F575" s="49"/>
    </row>
    <row r="576" ht="14.25" customHeight="1">
      <c r="A576" s="48"/>
      <c r="F576" s="49"/>
    </row>
    <row r="577" ht="14.25" customHeight="1">
      <c r="A577" s="48"/>
      <c r="F577" s="49"/>
    </row>
    <row r="578" ht="14.25" customHeight="1">
      <c r="A578" s="48"/>
      <c r="F578" s="49"/>
    </row>
    <row r="579" ht="14.25" customHeight="1">
      <c r="A579" s="48"/>
      <c r="F579" s="49"/>
    </row>
    <row r="580" ht="14.25" customHeight="1">
      <c r="A580" s="48"/>
      <c r="F580" s="49"/>
    </row>
    <row r="581" ht="14.25" customHeight="1">
      <c r="A581" s="48"/>
      <c r="F581" s="49"/>
    </row>
    <row r="582" ht="14.25" customHeight="1">
      <c r="A582" s="48"/>
      <c r="F582" s="49"/>
    </row>
    <row r="583" ht="14.25" customHeight="1">
      <c r="A583" s="48"/>
      <c r="F583" s="49"/>
    </row>
    <row r="584" ht="14.25" customHeight="1">
      <c r="A584" s="48"/>
      <c r="F584" s="49"/>
    </row>
    <row r="585" ht="14.25" customHeight="1">
      <c r="A585" s="48"/>
      <c r="F585" s="49"/>
    </row>
    <row r="586" ht="14.25" customHeight="1">
      <c r="A586" s="48"/>
      <c r="F586" s="49"/>
    </row>
    <row r="587" ht="14.25" customHeight="1">
      <c r="A587" s="48"/>
      <c r="F587" s="49"/>
    </row>
    <row r="588" ht="14.25" customHeight="1">
      <c r="A588" s="48"/>
      <c r="F588" s="49"/>
    </row>
    <row r="589" ht="14.25" customHeight="1">
      <c r="A589" s="48"/>
      <c r="F589" s="49"/>
    </row>
    <row r="590" ht="14.25" customHeight="1">
      <c r="A590" s="48"/>
      <c r="F590" s="49"/>
    </row>
    <row r="591" ht="14.25" customHeight="1">
      <c r="A591" s="48"/>
      <c r="F591" s="49"/>
    </row>
    <row r="592" ht="14.25" customHeight="1">
      <c r="A592" s="48"/>
      <c r="F592" s="49"/>
    </row>
    <row r="593" ht="14.25" customHeight="1">
      <c r="A593" s="48"/>
      <c r="F593" s="49"/>
    </row>
    <row r="594" ht="14.25" customHeight="1">
      <c r="A594" s="48"/>
      <c r="F594" s="49"/>
    </row>
    <row r="595" ht="14.25" customHeight="1">
      <c r="A595" s="48"/>
      <c r="F595" s="49"/>
    </row>
    <row r="596" ht="14.25" customHeight="1">
      <c r="A596" s="48"/>
      <c r="F596" s="49"/>
    </row>
    <row r="597" ht="14.25" customHeight="1">
      <c r="A597" s="48"/>
      <c r="F597" s="49"/>
    </row>
    <row r="598" ht="14.25" customHeight="1">
      <c r="A598" s="48"/>
      <c r="F598" s="49"/>
    </row>
    <row r="599" ht="14.25" customHeight="1">
      <c r="A599" s="48"/>
      <c r="F599" s="49"/>
    </row>
    <row r="600" ht="14.25" customHeight="1">
      <c r="A600" s="48"/>
      <c r="F600" s="49"/>
    </row>
    <row r="601" ht="14.25" customHeight="1">
      <c r="A601" s="48"/>
      <c r="F601" s="49"/>
    </row>
    <row r="602" ht="14.25" customHeight="1">
      <c r="A602" s="48"/>
      <c r="F602" s="49"/>
    </row>
    <row r="603" ht="14.25" customHeight="1">
      <c r="A603" s="48"/>
      <c r="F603" s="49"/>
    </row>
    <row r="604" ht="14.25" customHeight="1">
      <c r="A604" s="48"/>
      <c r="F604" s="49"/>
    </row>
    <row r="605" ht="14.25" customHeight="1">
      <c r="A605" s="48"/>
      <c r="F605" s="49"/>
    </row>
    <row r="606" ht="14.25" customHeight="1">
      <c r="A606" s="48"/>
      <c r="F606" s="49"/>
    </row>
    <row r="607" ht="14.25" customHeight="1">
      <c r="A607" s="48"/>
      <c r="F607" s="49"/>
    </row>
    <row r="608" ht="14.25" customHeight="1">
      <c r="A608" s="48"/>
      <c r="F608" s="49"/>
    </row>
    <row r="609" ht="14.25" customHeight="1">
      <c r="A609" s="48"/>
      <c r="F609" s="49"/>
    </row>
    <row r="610" ht="14.25" customHeight="1">
      <c r="A610" s="48"/>
      <c r="F610" s="49"/>
    </row>
    <row r="611" ht="14.25" customHeight="1">
      <c r="A611" s="48"/>
      <c r="F611" s="49"/>
    </row>
    <row r="612" ht="14.25" customHeight="1">
      <c r="A612" s="48"/>
      <c r="F612" s="49"/>
    </row>
    <row r="613" ht="14.25" customHeight="1">
      <c r="A613" s="48"/>
      <c r="F613" s="49"/>
    </row>
    <row r="614" ht="14.25" customHeight="1">
      <c r="A614" s="48"/>
      <c r="F614" s="49"/>
    </row>
    <row r="615" ht="14.25" customHeight="1">
      <c r="A615" s="48"/>
      <c r="F615" s="49"/>
    </row>
    <row r="616" ht="14.25" customHeight="1">
      <c r="A616" s="48"/>
      <c r="F616" s="49"/>
    </row>
    <row r="617" ht="14.25" customHeight="1">
      <c r="A617" s="48"/>
      <c r="F617" s="49"/>
    </row>
    <row r="618" ht="14.25" customHeight="1">
      <c r="A618" s="48"/>
      <c r="F618" s="49"/>
    </row>
    <row r="619" ht="14.25" customHeight="1">
      <c r="A619" s="48"/>
      <c r="F619" s="49"/>
    </row>
    <row r="620" ht="14.25" customHeight="1">
      <c r="A620" s="48"/>
      <c r="F620" s="49"/>
    </row>
    <row r="621" ht="14.25" customHeight="1">
      <c r="A621" s="48"/>
      <c r="F621" s="49"/>
    </row>
    <row r="622" ht="14.25" customHeight="1">
      <c r="A622" s="48"/>
      <c r="F622" s="49"/>
    </row>
    <row r="623" ht="14.25" customHeight="1">
      <c r="A623" s="48"/>
      <c r="F623" s="49"/>
    </row>
    <row r="624" ht="14.25" customHeight="1">
      <c r="A624" s="48"/>
      <c r="F624" s="49"/>
    </row>
    <row r="625" ht="14.25" customHeight="1">
      <c r="A625" s="48"/>
      <c r="F625" s="49"/>
    </row>
    <row r="626" ht="14.25" customHeight="1">
      <c r="A626" s="48"/>
      <c r="F626" s="49"/>
    </row>
    <row r="627" ht="14.25" customHeight="1">
      <c r="A627" s="48"/>
      <c r="F627" s="49"/>
    </row>
    <row r="628" ht="14.25" customHeight="1">
      <c r="A628" s="48"/>
      <c r="F628" s="49"/>
    </row>
    <row r="629" ht="14.25" customHeight="1">
      <c r="A629" s="48"/>
      <c r="F629" s="49"/>
    </row>
    <row r="630" ht="14.25" customHeight="1">
      <c r="A630" s="48"/>
      <c r="F630" s="49"/>
    </row>
    <row r="631" ht="14.25" customHeight="1">
      <c r="A631" s="48"/>
      <c r="F631" s="49"/>
    </row>
    <row r="632" ht="14.25" customHeight="1">
      <c r="A632" s="48"/>
      <c r="F632" s="49"/>
    </row>
    <row r="633" ht="14.25" customHeight="1">
      <c r="A633" s="48"/>
      <c r="F633" s="49"/>
    </row>
    <row r="634" ht="14.25" customHeight="1">
      <c r="A634" s="48"/>
      <c r="F634" s="49"/>
    </row>
    <row r="635" ht="14.25" customHeight="1">
      <c r="A635" s="48"/>
      <c r="F635" s="49"/>
    </row>
    <row r="636" ht="14.25" customHeight="1">
      <c r="A636" s="48"/>
      <c r="F636" s="49"/>
    </row>
    <row r="637" ht="14.25" customHeight="1">
      <c r="A637" s="48"/>
      <c r="F637" s="49"/>
    </row>
    <row r="638" ht="14.25" customHeight="1">
      <c r="A638" s="48"/>
      <c r="F638" s="49"/>
    </row>
    <row r="639" ht="14.25" customHeight="1">
      <c r="A639" s="48"/>
      <c r="F639" s="49"/>
    </row>
    <row r="640" ht="14.25" customHeight="1">
      <c r="A640" s="48"/>
      <c r="F640" s="49"/>
    </row>
    <row r="641" ht="14.25" customHeight="1">
      <c r="A641" s="48"/>
      <c r="F641" s="49"/>
    </row>
    <row r="642" ht="14.25" customHeight="1">
      <c r="A642" s="48"/>
      <c r="F642" s="49"/>
    </row>
    <row r="643" ht="14.25" customHeight="1">
      <c r="A643" s="48"/>
      <c r="F643" s="49"/>
    </row>
    <row r="644" ht="14.25" customHeight="1">
      <c r="A644" s="48"/>
      <c r="F644" s="49"/>
    </row>
    <row r="645" ht="14.25" customHeight="1">
      <c r="A645" s="48"/>
      <c r="F645" s="49"/>
    </row>
    <row r="646" ht="14.25" customHeight="1">
      <c r="A646" s="48"/>
      <c r="F646" s="49"/>
    </row>
    <row r="647" ht="14.25" customHeight="1">
      <c r="A647" s="48"/>
      <c r="F647" s="49"/>
    </row>
    <row r="648" ht="14.25" customHeight="1">
      <c r="A648" s="48"/>
      <c r="F648" s="49"/>
    </row>
    <row r="649" ht="14.25" customHeight="1">
      <c r="A649" s="48"/>
      <c r="F649" s="49"/>
    </row>
    <row r="650" ht="14.25" customHeight="1">
      <c r="A650" s="48"/>
      <c r="F650" s="49"/>
    </row>
    <row r="651" ht="14.25" customHeight="1">
      <c r="A651" s="48"/>
      <c r="F651" s="49"/>
    </row>
    <row r="652" ht="14.25" customHeight="1">
      <c r="A652" s="48"/>
      <c r="F652" s="49"/>
    </row>
    <row r="653" ht="14.25" customHeight="1">
      <c r="A653" s="48"/>
      <c r="F653" s="49"/>
    </row>
    <row r="654" ht="14.25" customHeight="1">
      <c r="A654" s="48"/>
      <c r="F654" s="49"/>
    </row>
    <row r="655" ht="14.25" customHeight="1">
      <c r="A655" s="48"/>
      <c r="F655" s="49"/>
    </row>
    <row r="656" ht="14.25" customHeight="1">
      <c r="A656" s="48"/>
      <c r="F656" s="49"/>
    </row>
    <row r="657" ht="14.25" customHeight="1">
      <c r="A657" s="48"/>
      <c r="F657" s="49"/>
    </row>
    <row r="658" ht="14.25" customHeight="1">
      <c r="A658" s="48"/>
      <c r="F658" s="49"/>
    </row>
    <row r="659" ht="14.25" customHeight="1">
      <c r="A659" s="48"/>
      <c r="F659" s="49"/>
    </row>
    <row r="660" ht="14.25" customHeight="1">
      <c r="A660" s="48"/>
      <c r="F660" s="49"/>
    </row>
    <row r="661" ht="14.25" customHeight="1">
      <c r="A661" s="48"/>
      <c r="F661" s="49"/>
    </row>
    <row r="662" ht="14.25" customHeight="1">
      <c r="A662" s="48"/>
      <c r="F662" s="49"/>
    </row>
    <row r="663" ht="14.25" customHeight="1">
      <c r="A663" s="48"/>
      <c r="F663" s="49"/>
    </row>
    <row r="664" ht="14.25" customHeight="1">
      <c r="A664" s="48"/>
      <c r="F664" s="49"/>
    </row>
    <row r="665" ht="14.25" customHeight="1">
      <c r="A665" s="48"/>
      <c r="F665" s="49"/>
    </row>
    <row r="666" ht="14.25" customHeight="1">
      <c r="A666" s="48"/>
      <c r="F666" s="49"/>
    </row>
    <row r="667" ht="14.25" customHeight="1">
      <c r="A667" s="48"/>
      <c r="F667" s="49"/>
    </row>
    <row r="668" ht="14.25" customHeight="1">
      <c r="A668" s="48"/>
      <c r="F668" s="49"/>
    </row>
    <row r="669" ht="14.25" customHeight="1">
      <c r="A669" s="48"/>
      <c r="F669" s="49"/>
    </row>
    <row r="670" ht="14.25" customHeight="1">
      <c r="A670" s="48"/>
      <c r="F670" s="49"/>
    </row>
    <row r="671" ht="14.25" customHeight="1">
      <c r="A671" s="48"/>
      <c r="F671" s="49"/>
    </row>
    <row r="672" ht="14.25" customHeight="1">
      <c r="A672" s="48"/>
      <c r="F672" s="49"/>
    </row>
    <row r="673" ht="14.25" customHeight="1">
      <c r="A673" s="48"/>
      <c r="F673" s="49"/>
    </row>
    <row r="674" ht="14.25" customHeight="1">
      <c r="A674" s="48"/>
      <c r="F674" s="49"/>
    </row>
    <row r="675" ht="14.25" customHeight="1">
      <c r="A675" s="48"/>
      <c r="F675" s="49"/>
    </row>
    <row r="676" ht="14.25" customHeight="1">
      <c r="A676" s="48"/>
      <c r="F676" s="49"/>
    </row>
    <row r="677" ht="14.25" customHeight="1">
      <c r="A677" s="48"/>
      <c r="F677" s="49"/>
    </row>
    <row r="678" ht="14.25" customHeight="1">
      <c r="A678" s="48"/>
      <c r="F678" s="49"/>
    </row>
    <row r="679" ht="14.25" customHeight="1">
      <c r="A679" s="48"/>
      <c r="F679" s="49"/>
    </row>
    <row r="680" ht="14.25" customHeight="1">
      <c r="A680" s="48"/>
      <c r="F680" s="49"/>
    </row>
    <row r="681" ht="14.25" customHeight="1">
      <c r="A681" s="48"/>
      <c r="F681" s="49"/>
    </row>
    <row r="682" ht="14.25" customHeight="1">
      <c r="A682" s="48"/>
      <c r="F682" s="49"/>
    </row>
    <row r="683" ht="14.25" customHeight="1">
      <c r="A683" s="48"/>
      <c r="F683" s="49"/>
    </row>
    <row r="684" ht="14.25" customHeight="1">
      <c r="A684" s="48"/>
      <c r="F684" s="49"/>
    </row>
    <row r="685" ht="14.25" customHeight="1">
      <c r="A685" s="48"/>
      <c r="F685" s="49"/>
    </row>
    <row r="686" ht="14.25" customHeight="1">
      <c r="A686" s="48"/>
      <c r="F686" s="49"/>
    </row>
    <row r="687" ht="14.25" customHeight="1">
      <c r="A687" s="48"/>
      <c r="F687" s="49"/>
    </row>
    <row r="688" ht="14.25" customHeight="1">
      <c r="A688" s="48"/>
      <c r="F688" s="49"/>
    </row>
    <row r="689" ht="14.25" customHeight="1">
      <c r="A689" s="48"/>
      <c r="F689" s="49"/>
    </row>
    <row r="690" ht="14.25" customHeight="1">
      <c r="A690" s="48"/>
      <c r="F690" s="49"/>
    </row>
    <row r="691" ht="14.25" customHeight="1">
      <c r="A691" s="48"/>
      <c r="F691" s="49"/>
    </row>
    <row r="692" ht="14.25" customHeight="1">
      <c r="A692" s="48"/>
      <c r="F692" s="49"/>
    </row>
    <row r="693" ht="14.25" customHeight="1">
      <c r="A693" s="48"/>
      <c r="F693" s="49"/>
    </row>
    <row r="694" ht="14.25" customHeight="1">
      <c r="A694" s="48"/>
      <c r="F694" s="49"/>
    </row>
    <row r="695" ht="14.25" customHeight="1">
      <c r="A695" s="48"/>
      <c r="F695" s="49"/>
    </row>
    <row r="696" ht="14.25" customHeight="1">
      <c r="A696" s="48"/>
      <c r="F696" s="49"/>
    </row>
    <row r="697" ht="14.25" customHeight="1">
      <c r="A697" s="48"/>
      <c r="F697" s="49"/>
    </row>
    <row r="698" ht="14.25" customHeight="1">
      <c r="A698" s="48"/>
      <c r="F698" s="49"/>
    </row>
    <row r="699" ht="14.25" customHeight="1">
      <c r="A699" s="48"/>
      <c r="F699" s="49"/>
    </row>
    <row r="700" ht="14.25" customHeight="1">
      <c r="A700" s="48"/>
      <c r="F700" s="49"/>
    </row>
    <row r="701" ht="14.25" customHeight="1">
      <c r="A701" s="48"/>
      <c r="F701" s="49"/>
    </row>
    <row r="702" ht="14.25" customHeight="1">
      <c r="A702" s="48"/>
      <c r="F702" s="49"/>
    </row>
    <row r="703" ht="14.25" customHeight="1">
      <c r="A703" s="48"/>
      <c r="F703" s="49"/>
    </row>
    <row r="704" ht="14.25" customHeight="1">
      <c r="A704" s="48"/>
      <c r="F704" s="49"/>
    </row>
    <row r="705" ht="14.25" customHeight="1">
      <c r="A705" s="48"/>
      <c r="F705" s="49"/>
    </row>
    <row r="706" ht="14.25" customHeight="1">
      <c r="A706" s="48"/>
      <c r="F706" s="49"/>
    </row>
    <row r="707" ht="14.25" customHeight="1">
      <c r="A707" s="48"/>
      <c r="F707" s="49"/>
    </row>
    <row r="708" ht="14.25" customHeight="1">
      <c r="A708" s="48"/>
      <c r="F708" s="49"/>
    </row>
    <row r="709" ht="14.25" customHeight="1">
      <c r="A709" s="48"/>
      <c r="F709" s="49"/>
    </row>
    <row r="710" ht="14.25" customHeight="1">
      <c r="A710" s="48"/>
      <c r="F710" s="49"/>
    </row>
    <row r="711" ht="14.25" customHeight="1">
      <c r="A711" s="48"/>
      <c r="F711" s="49"/>
    </row>
    <row r="712" ht="14.25" customHeight="1">
      <c r="A712" s="48"/>
      <c r="F712" s="49"/>
    </row>
    <row r="713" ht="14.25" customHeight="1">
      <c r="A713" s="48"/>
      <c r="F713" s="49"/>
    </row>
    <row r="714" ht="14.25" customHeight="1">
      <c r="A714" s="48"/>
      <c r="F714" s="49"/>
    </row>
    <row r="715" ht="14.25" customHeight="1">
      <c r="A715" s="48"/>
      <c r="F715" s="49"/>
    </row>
    <row r="716" ht="14.25" customHeight="1">
      <c r="A716" s="48"/>
      <c r="F716" s="49"/>
    </row>
    <row r="717" ht="14.25" customHeight="1">
      <c r="A717" s="48"/>
      <c r="F717" s="49"/>
    </row>
    <row r="718" ht="14.25" customHeight="1">
      <c r="A718" s="48"/>
      <c r="F718" s="49"/>
    </row>
    <row r="719" ht="14.25" customHeight="1">
      <c r="A719" s="48"/>
      <c r="F719" s="49"/>
    </row>
    <row r="720" ht="14.25" customHeight="1">
      <c r="A720" s="48"/>
      <c r="F720" s="49"/>
    </row>
    <row r="721" ht="14.25" customHeight="1">
      <c r="A721" s="48"/>
      <c r="F721" s="49"/>
    </row>
    <row r="722" ht="14.25" customHeight="1">
      <c r="A722" s="48"/>
      <c r="F722" s="49"/>
    </row>
    <row r="723" ht="14.25" customHeight="1">
      <c r="A723" s="48"/>
      <c r="F723" s="49"/>
    </row>
    <row r="724" ht="14.25" customHeight="1">
      <c r="A724" s="48"/>
      <c r="F724" s="49"/>
    </row>
    <row r="725" ht="14.25" customHeight="1">
      <c r="A725" s="48"/>
      <c r="F725" s="49"/>
    </row>
    <row r="726" ht="14.25" customHeight="1">
      <c r="A726" s="48"/>
      <c r="F726" s="49"/>
    </row>
    <row r="727" ht="14.25" customHeight="1">
      <c r="A727" s="48"/>
      <c r="F727" s="49"/>
    </row>
    <row r="728" ht="14.25" customHeight="1">
      <c r="A728" s="48"/>
      <c r="F728" s="49"/>
    </row>
    <row r="729" ht="14.25" customHeight="1">
      <c r="A729" s="48"/>
      <c r="F729" s="49"/>
    </row>
    <row r="730" ht="14.25" customHeight="1">
      <c r="A730" s="48"/>
      <c r="F730" s="49"/>
    </row>
    <row r="731" ht="14.25" customHeight="1">
      <c r="A731" s="48"/>
      <c r="F731" s="49"/>
    </row>
    <row r="732" ht="14.25" customHeight="1">
      <c r="A732" s="48"/>
      <c r="F732" s="49"/>
    </row>
    <row r="733" ht="14.25" customHeight="1">
      <c r="A733" s="48"/>
      <c r="F733" s="49"/>
    </row>
    <row r="734" ht="14.25" customHeight="1">
      <c r="A734" s="48"/>
      <c r="F734" s="49"/>
    </row>
    <row r="735" ht="14.25" customHeight="1">
      <c r="A735" s="48"/>
      <c r="F735" s="49"/>
    </row>
    <row r="736" ht="14.25" customHeight="1">
      <c r="A736" s="48"/>
      <c r="F736" s="49"/>
    </row>
    <row r="737" ht="14.25" customHeight="1">
      <c r="A737" s="48"/>
      <c r="F737" s="49"/>
    </row>
    <row r="738" ht="14.25" customHeight="1">
      <c r="A738" s="48"/>
      <c r="F738" s="49"/>
    </row>
    <row r="739" ht="14.25" customHeight="1">
      <c r="A739" s="48"/>
      <c r="F739" s="49"/>
    </row>
    <row r="740" ht="14.25" customHeight="1">
      <c r="A740" s="48"/>
      <c r="F740" s="49"/>
    </row>
    <row r="741" ht="14.25" customHeight="1">
      <c r="A741" s="48"/>
      <c r="F741" s="49"/>
    </row>
    <row r="742" ht="14.25" customHeight="1">
      <c r="A742" s="48"/>
      <c r="F742" s="49"/>
    </row>
    <row r="743" ht="14.25" customHeight="1">
      <c r="A743" s="48"/>
      <c r="F743" s="49"/>
    </row>
    <row r="744" ht="14.25" customHeight="1">
      <c r="A744" s="48"/>
      <c r="F744" s="49"/>
    </row>
    <row r="745" ht="14.25" customHeight="1">
      <c r="A745" s="48"/>
      <c r="F745" s="49"/>
    </row>
    <row r="746" ht="14.25" customHeight="1">
      <c r="A746" s="48"/>
      <c r="F746" s="49"/>
    </row>
    <row r="747" ht="14.25" customHeight="1">
      <c r="A747" s="48"/>
      <c r="F747" s="49"/>
    </row>
    <row r="748" ht="14.25" customHeight="1">
      <c r="A748" s="48"/>
      <c r="F748" s="49"/>
    </row>
    <row r="749" ht="14.25" customHeight="1">
      <c r="A749" s="48"/>
      <c r="F749" s="49"/>
    </row>
    <row r="750" ht="14.25" customHeight="1">
      <c r="A750" s="48"/>
      <c r="F750" s="49"/>
    </row>
    <row r="751" ht="14.25" customHeight="1">
      <c r="A751" s="48"/>
      <c r="F751" s="49"/>
    </row>
    <row r="752" ht="14.25" customHeight="1">
      <c r="A752" s="48"/>
      <c r="F752" s="49"/>
    </row>
    <row r="753" ht="14.25" customHeight="1">
      <c r="A753" s="48"/>
      <c r="F753" s="49"/>
    </row>
    <row r="754" ht="14.25" customHeight="1">
      <c r="A754" s="48"/>
      <c r="F754" s="49"/>
    </row>
    <row r="755" ht="14.25" customHeight="1">
      <c r="A755" s="48"/>
      <c r="F755" s="49"/>
    </row>
    <row r="756" ht="14.25" customHeight="1">
      <c r="A756" s="48"/>
      <c r="F756" s="49"/>
    </row>
    <row r="757" ht="14.25" customHeight="1">
      <c r="A757" s="48"/>
      <c r="F757" s="49"/>
    </row>
    <row r="758" ht="14.25" customHeight="1">
      <c r="A758" s="48"/>
      <c r="F758" s="49"/>
    </row>
    <row r="759" ht="14.25" customHeight="1">
      <c r="A759" s="48"/>
      <c r="F759" s="49"/>
    </row>
    <row r="760" ht="14.25" customHeight="1">
      <c r="A760" s="48"/>
      <c r="F760" s="49"/>
    </row>
    <row r="761" ht="14.25" customHeight="1">
      <c r="A761" s="48"/>
      <c r="F761" s="49"/>
    </row>
    <row r="762" ht="14.25" customHeight="1">
      <c r="A762" s="48"/>
      <c r="F762" s="49"/>
    </row>
    <row r="763" ht="14.25" customHeight="1">
      <c r="A763" s="48"/>
      <c r="F763" s="49"/>
    </row>
    <row r="764" ht="14.25" customHeight="1">
      <c r="A764" s="48"/>
      <c r="F764" s="49"/>
    </row>
    <row r="765" ht="14.25" customHeight="1">
      <c r="A765" s="48"/>
      <c r="F765" s="49"/>
    </row>
    <row r="766" ht="14.25" customHeight="1">
      <c r="A766" s="48"/>
      <c r="F766" s="49"/>
    </row>
    <row r="767" ht="14.25" customHeight="1">
      <c r="A767" s="48"/>
      <c r="F767" s="49"/>
    </row>
    <row r="768" ht="14.25" customHeight="1">
      <c r="A768" s="48"/>
      <c r="F768" s="49"/>
    </row>
    <row r="769" ht="14.25" customHeight="1">
      <c r="A769" s="48"/>
      <c r="F769" s="49"/>
    </row>
    <row r="770" ht="14.25" customHeight="1">
      <c r="A770" s="48"/>
      <c r="F770" s="49"/>
    </row>
    <row r="771" ht="14.25" customHeight="1">
      <c r="A771" s="48"/>
      <c r="F771" s="49"/>
    </row>
    <row r="772" ht="14.25" customHeight="1">
      <c r="A772" s="48"/>
      <c r="F772" s="49"/>
    </row>
    <row r="773" ht="14.25" customHeight="1">
      <c r="A773" s="48"/>
      <c r="F773" s="49"/>
    </row>
    <row r="774" ht="14.25" customHeight="1">
      <c r="A774" s="48"/>
      <c r="F774" s="49"/>
    </row>
    <row r="775" ht="14.25" customHeight="1">
      <c r="A775" s="48"/>
      <c r="F775" s="49"/>
    </row>
    <row r="776" ht="14.25" customHeight="1">
      <c r="A776" s="48"/>
      <c r="F776" s="49"/>
    </row>
    <row r="777" ht="14.25" customHeight="1">
      <c r="A777" s="48"/>
      <c r="F777" s="49"/>
    </row>
    <row r="778" ht="14.25" customHeight="1">
      <c r="A778" s="48"/>
      <c r="F778" s="49"/>
    </row>
    <row r="779" ht="14.25" customHeight="1">
      <c r="A779" s="48"/>
      <c r="F779" s="49"/>
    </row>
    <row r="780" ht="14.25" customHeight="1">
      <c r="A780" s="48"/>
      <c r="F780" s="49"/>
    </row>
    <row r="781" ht="14.25" customHeight="1">
      <c r="A781" s="48"/>
      <c r="F781" s="49"/>
    </row>
    <row r="782" ht="14.25" customHeight="1">
      <c r="A782" s="48"/>
      <c r="F782" s="49"/>
    </row>
    <row r="783" ht="14.25" customHeight="1">
      <c r="A783" s="48"/>
      <c r="F783" s="49"/>
    </row>
    <row r="784" ht="14.25" customHeight="1">
      <c r="A784" s="48"/>
      <c r="F784" s="49"/>
    </row>
    <row r="785" ht="14.25" customHeight="1">
      <c r="A785" s="48"/>
      <c r="F785" s="49"/>
    </row>
    <row r="786" ht="14.25" customHeight="1">
      <c r="A786" s="48"/>
      <c r="F786" s="49"/>
    </row>
    <row r="787" ht="14.25" customHeight="1">
      <c r="A787" s="48"/>
      <c r="F787" s="49"/>
    </row>
    <row r="788" ht="14.25" customHeight="1">
      <c r="A788" s="48"/>
      <c r="F788" s="49"/>
    </row>
    <row r="789" ht="14.25" customHeight="1">
      <c r="A789" s="48"/>
      <c r="F789" s="49"/>
    </row>
    <row r="790" ht="14.25" customHeight="1">
      <c r="A790" s="48"/>
      <c r="F790" s="49"/>
    </row>
    <row r="791" ht="14.25" customHeight="1">
      <c r="A791" s="48"/>
      <c r="F791" s="49"/>
    </row>
    <row r="792" ht="14.25" customHeight="1">
      <c r="A792" s="48"/>
      <c r="F792" s="49"/>
    </row>
    <row r="793" ht="14.25" customHeight="1">
      <c r="A793" s="48"/>
      <c r="F793" s="49"/>
    </row>
    <row r="794" ht="14.25" customHeight="1">
      <c r="A794" s="48"/>
      <c r="F794" s="49"/>
    </row>
    <row r="795" ht="14.25" customHeight="1">
      <c r="A795" s="48"/>
      <c r="F795" s="49"/>
    </row>
    <row r="796" ht="14.25" customHeight="1">
      <c r="A796" s="48"/>
      <c r="F796" s="49"/>
    </row>
    <row r="797" ht="14.25" customHeight="1">
      <c r="A797" s="48"/>
      <c r="F797" s="49"/>
    </row>
    <row r="798" ht="14.25" customHeight="1">
      <c r="A798" s="48"/>
      <c r="F798" s="49"/>
    </row>
    <row r="799" ht="14.25" customHeight="1">
      <c r="A799" s="48"/>
      <c r="F799" s="49"/>
    </row>
    <row r="800" ht="14.25" customHeight="1">
      <c r="A800" s="48"/>
      <c r="F800" s="49"/>
    </row>
    <row r="801" ht="14.25" customHeight="1">
      <c r="A801" s="48"/>
      <c r="F801" s="49"/>
    </row>
    <row r="802" ht="14.25" customHeight="1">
      <c r="A802" s="48"/>
      <c r="F802" s="49"/>
    </row>
    <row r="803" ht="14.25" customHeight="1">
      <c r="A803" s="48"/>
      <c r="F803" s="49"/>
    </row>
    <row r="804" ht="14.25" customHeight="1">
      <c r="A804" s="48"/>
      <c r="F804" s="49"/>
    </row>
    <row r="805" ht="14.25" customHeight="1">
      <c r="A805" s="48"/>
      <c r="F805" s="49"/>
    </row>
    <row r="806" ht="14.25" customHeight="1">
      <c r="A806" s="48"/>
      <c r="F806" s="49"/>
    </row>
    <row r="807" ht="14.25" customHeight="1">
      <c r="A807" s="48"/>
      <c r="F807" s="49"/>
    </row>
    <row r="808" ht="14.25" customHeight="1">
      <c r="A808" s="48"/>
      <c r="F808" s="49"/>
    </row>
    <row r="809" ht="14.25" customHeight="1">
      <c r="A809" s="48"/>
      <c r="F809" s="49"/>
    </row>
    <row r="810" ht="14.25" customHeight="1">
      <c r="A810" s="48"/>
      <c r="F810" s="49"/>
    </row>
    <row r="811" ht="14.25" customHeight="1">
      <c r="A811" s="48"/>
      <c r="F811" s="49"/>
    </row>
    <row r="812" ht="14.25" customHeight="1">
      <c r="A812" s="48"/>
      <c r="F812" s="49"/>
    </row>
    <row r="813" ht="14.25" customHeight="1">
      <c r="A813" s="48"/>
      <c r="F813" s="49"/>
    </row>
    <row r="814" ht="14.25" customHeight="1">
      <c r="A814" s="48"/>
      <c r="F814" s="49"/>
    </row>
    <row r="815" ht="14.25" customHeight="1">
      <c r="A815" s="48"/>
      <c r="F815" s="49"/>
    </row>
    <row r="816" ht="14.25" customHeight="1">
      <c r="A816" s="48"/>
      <c r="F816" s="49"/>
    </row>
    <row r="817" ht="14.25" customHeight="1">
      <c r="A817" s="48"/>
      <c r="F817" s="49"/>
    </row>
    <row r="818" ht="14.25" customHeight="1">
      <c r="A818" s="48"/>
      <c r="F818" s="49"/>
    </row>
    <row r="819" ht="14.25" customHeight="1">
      <c r="A819" s="48"/>
      <c r="F819" s="49"/>
    </row>
    <row r="820" ht="14.25" customHeight="1">
      <c r="A820" s="48"/>
      <c r="F820" s="49"/>
    </row>
    <row r="821" ht="14.25" customHeight="1">
      <c r="A821" s="48"/>
      <c r="F821" s="49"/>
    </row>
    <row r="822" ht="14.25" customHeight="1">
      <c r="A822" s="48"/>
      <c r="F822" s="49"/>
    </row>
    <row r="823" ht="14.25" customHeight="1">
      <c r="A823" s="48"/>
      <c r="F823" s="49"/>
    </row>
    <row r="824" ht="14.25" customHeight="1">
      <c r="A824" s="48"/>
      <c r="F824" s="49"/>
    </row>
    <row r="825" ht="14.25" customHeight="1">
      <c r="A825" s="48"/>
      <c r="F825" s="49"/>
    </row>
    <row r="826" ht="14.25" customHeight="1">
      <c r="A826" s="48"/>
      <c r="F826" s="49"/>
    </row>
    <row r="827" ht="14.25" customHeight="1">
      <c r="A827" s="48"/>
      <c r="F827" s="49"/>
    </row>
    <row r="828" ht="14.25" customHeight="1">
      <c r="A828" s="48"/>
      <c r="F828" s="49"/>
    </row>
    <row r="829" ht="14.25" customHeight="1">
      <c r="A829" s="48"/>
      <c r="F829" s="49"/>
    </row>
    <row r="830" ht="14.25" customHeight="1">
      <c r="A830" s="48"/>
      <c r="F830" s="49"/>
    </row>
    <row r="831" ht="14.25" customHeight="1">
      <c r="A831" s="48"/>
      <c r="F831" s="49"/>
    </row>
    <row r="832" ht="14.25" customHeight="1">
      <c r="A832" s="48"/>
      <c r="F832" s="49"/>
    </row>
    <row r="833" ht="14.25" customHeight="1">
      <c r="A833" s="48"/>
      <c r="F833" s="49"/>
    </row>
    <row r="834" ht="14.25" customHeight="1">
      <c r="A834" s="48"/>
      <c r="F834" s="49"/>
    </row>
    <row r="835" ht="14.25" customHeight="1">
      <c r="A835" s="48"/>
      <c r="F835" s="49"/>
    </row>
    <row r="836" ht="14.25" customHeight="1">
      <c r="A836" s="48"/>
      <c r="F836" s="49"/>
    </row>
    <row r="837" ht="14.25" customHeight="1">
      <c r="A837" s="48"/>
      <c r="F837" s="49"/>
    </row>
    <row r="838" ht="14.25" customHeight="1">
      <c r="A838" s="48"/>
      <c r="F838" s="49"/>
    </row>
    <row r="839" ht="14.25" customHeight="1">
      <c r="A839" s="48"/>
      <c r="F839" s="49"/>
    </row>
    <row r="840" ht="14.25" customHeight="1">
      <c r="A840" s="48"/>
      <c r="F840" s="49"/>
    </row>
    <row r="841" ht="14.25" customHeight="1">
      <c r="A841" s="48"/>
      <c r="F841" s="49"/>
    </row>
    <row r="842" ht="14.25" customHeight="1">
      <c r="A842" s="48"/>
      <c r="F842" s="49"/>
    </row>
    <row r="843" ht="14.25" customHeight="1">
      <c r="A843" s="48"/>
      <c r="F843" s="49"/>
    </row>
    <row r="844" ht="14.25" customHeight="1">
      <c r="A844" s="48"/>
      <c r="F844" s="49"/>
    </row>
    <row r="845" ht="14.25" customHeight="1">
      <c r="A845" s="48"/>
      <c r="F845" s="49"/>
    </row>
    <row r="846" ht="14.25" customHeight="1">
      <c r="A846" s="48"/>
      <c r="F846" s="49"/>
    </row>
    <row r="847" ht="14.25" customHeight="1">
      <c r="A847" s="48"/>
      <c r="F847" s="49"/>
    </row>
    <row r="848" ht="14.25" customHeight="1">
      <c r="A848" s="48"/>
      <c r="F848" s="49"/>
    </row>
    <row r="849" ht="14.25" customHeight="1">
      <c r="A849" s="48"/>
      <c r="F849" s="49"/>
    </row>
    <row r="850" ht="14.25" customHeight="1">
      <c r="A850" s="48"/>
      <c r="F850" s="49"/>
    </row>
    <row r="851" ht="14.25" customHeight="1">
      <c r="A851" s="48"/>
      <c r="F851" s="49"/>
    </row>
    <row r="852" ht="14.25" customHeight="1">
      <c r="A852" s="48"/>
      <c r="F852" s="49"/>
    </row>
    <row r="853" ht="14.25" customHeight="1">
      <c r="A853" s="48"/>
      <c r="F853" s="49"/>
    </row>
    <row r="854" ht="14.25" customHeight="1">
      <c r="A854" s="48"/>
      <c r="F854" s="49"/>
    </row>
    <row r="855" ht="14.25" customHeight="1">
      <c r="A855" s="48"/>
      <c r="F855" s="49"/>
    </row>
    <row r="856" ht="14.25" customHeight="1">
      <c r="A856" s="48"/>
      <c r="F856" s="49"/>
    </row>
    <row r="857" ht="14.25" customHeight="1">
      <c r="A857" s="48"/>
      <c r="F857" s="49"/>
    </row>
    <row r="858" ht="14.25" customHeight="1">
      <c r="A858" s="48"/>
      <c r="F858" s="49"/>
    </row>
    <row r="859" ht="14.25" customHeight="1">
      <c r="A859" s="48"/>
      <c r="F859" s="49"/>
    </row>
    <row r="860" ht="14.25" customHeight="1">
      <c r="A860" s="48"/>
      <c r="F860" s="49"/>
    </row>
    <row r="861" ht="14.25" customHeight="1">
      <c r="A861" s="48"/>
      <c r="F861" s="49"/>
    </row>
    <row r="862" ht="14.25" customHeight="1">
      <c r="A862" s="48"/>
      <c r="F862" s="49"/>
    </row>
    <row r="863" ht="14.25" customHeight="1">
      <c r="A863" s="48"/>
      <c r="F863" s="49"/>
    </row>
    <row r="864" ht="14.25" customHeight="1">
      <c r="A864" s="48"/>
      <c r="F864" s="49"/>
    </row>
    <row r="865" ht="14.25" customHeight="1">
      <c r="A865" s="48"/>
      <c r="F865" s="49"/>
    </row>
    <row r="866" ht="14.25" customHeight="1">
      <c r="A866" s="48"/>
      <c r="F866" s="49"/>
    </row>
    <row r="867" ht="14.25" customHeight="1">
      <c r="A867" s="48"/>
      <c r="F867" s="49"/>
    </row>
    <row r="868" ht="14.25" customHeight="1">
      <c r="A868" s="48"/>
      <c r="F868" s="49"/>
    </row>
    <row r="869" ht="14.25" customHeight="1">
      <c r="A869" s="48"/>
      <c r="F869" s="49"/>
    </row>
    <row r="870" ht="14.25" customHeight="1">
      <c r="A870" s="48"/>
      <c r="F870" s="49"/>
    </row>
    <row r="871" ht="14.25" customHeight="1">
      <c r="A871" s="48"/>
      <c r="F871" s="49"/>
    </row>
    <row r="872" ht="14.25" customHeight="1">
      <c r="A872" s="48"/>
      <c r="F872" s="49"/>
    </row>
    <row r="873" ht="14.25" customHeight="1">
      <c r="A873" s="48"/>
      <c r="F873" s="49"/>
    </row>
    <row r="874" ht="14.25" customHeight="1">
      <c r="A874" s="48"/>
      <c r="F874" s="49"/>
    </row>
    <row r="875" ht="14.25" customHeight="1">
      <c r="A875" s="48"/>
      <c r="F875" s="49"/>
    </row>
    <row r="876" ht="14.25" customHeight="1">
      <c r="A876" s="48"/>
      <c r="F876" s="49"/>
    </row>
    <row r="877" ht="14.25" customHeight="1">
      <c r="A877" s="48"/>
      <c r="F877" s="49"/>
    </row>
    <row r="878" ht="14.25" customHeight="1">
      <c r="A878" s="48"/>
      <c r="F878" s="49"/>
    </row>
    <row r="879" ht="14.25" customHeight="1">
      <c r="A879" s="48"/>
      <c r="F879" s="49"/>
    </row>
    <row r="880" ht="14.25" customHeight="1">
      <c r="A880" s="48"/>
      <c r="F880" s="49"/>
    </row>
    <row r="881" ht="14.25" customHeight="1">
      <c r="A881" s="48"/>
      <c r="F881" s="49"/>
    </row>
    <row r="882" ht="14.25" customHeight="1">
      <c r="A882" s="48"/>
      <c r="F882" s="49"/>
    </row>
    <row r="883" ht="14.25" customHeight="1">
      <c r="A883" s="48"/>
      <c r="F883" s="49"/>
    </row>
    <row r="884" ht="14.25" customHeight="1">
      <c r="A884" s="48"/>
      <c r="F884" s="49"/>
    </row>
    <row r="885" ht="14.25" customHeight="1">
      <c r="A885" s="48"/>
      <c r="F885" s="49"/>
    </row>
    <row r="886" ht="14.25" customHeight="1">
      <c r="A886" s="48"/>
      <c r="F886" s="49"/>
    </row>
    <row r="887" ht="14.25" customHeight="1">
      <c r="A887" s="48"/>
      <c r="F887" s="49"/>
    </row>
    <row r="888" ht="14.25" customHeight="1">
      <c r="A888" s="48"/>
      <c r="F888" s="49"/>
    </row>
    <row r="889" ht="14.25" customHeight="1">
      <c r="A889" s="48"/>
      <c r="F889" s="49"/>
    </row>
    <row r="890" ht="14.25" customHeight="1">
      <c r="A890" s="48"/>
      <c r="F890" s="49"/>
    </row>
    <row r="891" ht="14.25" customHeight="1">
      <c r="A891" s="48"/>
      <c r="F891" s="49"/>
    </row>
    <row r="892" ht="14.25" customHeight="1">
      <c r="A892" s="48"/>
      <c r="F892" s="49"/>
    </row>
    <row r="893" ht="14.25" customHeight="1">
      <c r="A893" s="48"/>
      <c r="F893" s="49"/>
    </row>
    <row r="894" ht="14.25" customHeight="1">
      <c r="A894" s="48"/>
      <c r="F894" s="49"/>
    </row>
    <row r="895" ht="14.25" customHeight="1">
      <c r="A895" s="48"/>
      <c r="F895" s="49"/>
    </row>
    <row r="896" ht="14.25" customHeight="1">
      <c r="A896" s="48"/>
      <c r="F896" s="49"/>
    </row>
    <row r="897" ht="14.25" customHeight="1">
      <c r="A897" s="48"/>
      <c r="F897" s="49"/>
    </row>
    <row r="898" ht="14.25" customHeight="1">
      <c r="A898" s="48"/>
      <c r="F898" s="49"/>
    </row>
    <row r="899" ht="14.25" customHeight="1">
      <c r="A899" s="48"/>
      <c r="F899" s="49"/>
    </row>
    <row r="900" ht="14.25" customHeight="1">
      <c r="A900" s="48"/>
      <c r="F900" s="49"/>
    </row>
    <row r="901" ht="14.25" customHeight="1">
      <c r="A901" s="48"/>
      <c r="F901" s="49"/>
    </row>
    <row r="902" ht="14.25" customHeight="1">
      <c r="A902" s="48"/>
      <c r="F902" s="49"/>
    </row>
    <row r="903" ht="14.25" customHeight="1">
      <c r="A903" s="48"/>
      <c r="F903" s="49"/>
    </row>
    <row r="904" ht="14.25" customHeight="1">
      <c r="A904" s="48"/>
      <c r="F904" s="49"/>
    </row>
    <row r="905" ht="14.25" customHeight="1">
      <c r="A905" s="48"/>
      <c r="F905" s="49"/>
    </row>
    <row r="906" ht="14.25" customHeight="1">
      <c r="A906" s="48"/>
      <c r="F906" s="49"/>
    </row>
    <row r="907" ht="14.25" customHeight="1">
      <c r="A907" s="48"/>
      <c r="F907" s="49"/>
    </row>
    <row r="908" ht="14.25" customHeight="1">
      <c r="A908" s="48"/>
      <c r="F908" s="49"/>
    </row>
    <row r="909" ht="14.25" customHeight="1">
      <c r="A909" s="48"/>
      <c r="F909" s="49"/>
    </row>
    <row r="910" ht="14.25" customHeight="1">
      <c r="A910" s="48"/>
      <c r="F910" s="49"/>
    </row>
    <row r="911" ht="14.25" customHeight="1">
      <c r="A911" s="48"/>
      <c r="F911" s="49"/>
    </row>
    <row r="912" ht="14.25" customHeight="1">
      <c r="A912" s="48"/>
      <c r="F912" s="49"/>
    </row>
    <row r="913" ht="14.25" customHeight="1">
      <c r="A913" s="48"/>
      <c r="F913" s="49"/>
    </row>
    <row r="914" ht="14.25" customHeight="1">
      <c r="A914" s="48"/>
      <c r="F914" s="49"/>
    </row>
    <row r="915" ht="14.25" customHeight="1">
      <c r="A915" s="48"/>
      <c r="F915" s="49"/>
    </row>
    <row r="916" ht="14.25" customHeight="1">
      <c r="A916" s="48"/>
      <c r="F916" s="49"/>
    </row>
    <row r="917" ht="14.25" customHeight="1">
      <c r="A917" s="48"/>
      <c r="F917" s="49"/>
    </row>
    <row r="918" ht="14.25" customHeight="1">
      <c r="A918" s="48"/>
      <c r="F918" s="49"/>
    </row>
    <row r="919" ht="14.25" customHeight="1">
      <c r="A919" s="48"/>
      <c r="F919" s="49"/>
    </row>
    <row r="920" ht="14.25" customHeight="1">
      <c r="A920" s="48"/>
      <c r="F920" s="49"/>
    </row>
    <row r="921" ht="14.25" customHeight="1">
      <c r="A921" s="48"/>
      <c r="F921" s="49"/>
    </row>
    <row r="922" ht="14.25" customHeight="1">
      <c r="A922" s="48"/>
      <c r="F922" s="49"/>
    </row>
    <row r="923" ht="14.25" customHeight="1">
      <c r="A923" s="48"/>
      <c r="F923" s="49"/>
    </row>
    <row r="924" ht="14.25" customHeight="1">
      <c r="A924" s="48"/>
      <c r="F924" s="49"/>
    </row>
    <row r="925" ht="14.25" customHeight="1">
      <c r="A925" s="48"/>
      <c r="F925" s="49"/>
    </row>
    <row r="926" ht="14.25" customHeight="1">
      <c r="A926" s="48"/>
      <c r="F926" s="49"/>
    </row>
    <row r="927" ht="14.25" customHeight="1">
      <c r="A927" s="48"/>
      <c r="F927" s="49"/>
    </row>
    <row r="928" ht="14.25" customHeight="1">
      <c r="A928" s="48"/>
      <c r="F928" s="49"/>
    </row>
    <row r="929" ht="14.25" customHeight="1">
      <c r="A929" s="48"/>
      <c r="F929" s="49"/>
    </row>
    <row r="930" ht="14.25" customHeight="1">
      <c r="A930" s="48"/>
      <c r="F930" s="49"/>
    </row>
    <row r="931" ht="14.25" customHeight="1">
      <c r="A931" s="48"/>
      <c r="F931" s="49"/>
    </row>
    <row r="932" ht="14.25" customHeight="1">
      <c r="A932" s="48"/>
      <c r="F932" s="49"/>
    </row>
    <row r="933" ht="14.25" customHeight="1">
      <c r="A933" s="48"/>
      <c r="F933" s="49"/>
    </row>
    <row r="934" ht="14.25" customHeight="1">
      <c r="A934" s="48"/>
      <c r="F934" s="49"/>
    </row>
    <row r="935" ht="14.25" customHeight="1">
      <c r="A935" s="48"/>
      <c r="F935" s="49"/>
    </row>
    <row r="936" ht="14.25" customHeight="1">
      <c r="A936" s="48"/>
      <c r="F936" s="49"/>
    </row>
    <row r="937" ht="14.25" customHeight="1">
      <c r="A937" s="48"/>
      <c r="F937" s="49"/>
    </row>
    <row r="938" ht="14.25" customHeight="1">
      <c r="A938" s="48"/>
      <c r="F938" s="49"/>
    </row>
    <row r="939" ht="14.25" customHeight="1">
      <c r="A939" s="48"/>
      <c r="F939" s="49"/>
    </row>
    <row r="940" ht="14.25" customHeight="1">
      <c r="A940" s="48"/>
      <c r="F940" s="49"/>
    </row>
    <row r="941" ht="14.25" customHeight="1">
      <c r="A941" s="48"/>
      <c r="F941" s="49"/>
    </row>
    <row r="942" ht="14.25" customHeight="1">
      <c r="A942" s="48"/>
      <c r="F942" s="49"/>
    </row>
    <row r="943" ht="14.25" customHeight="1">
      <c r="A943" s="48"/>
      <c r="F943" s="49"/>
    </row>
    <row r="944" ht="14.25" customHeight="1">
      <c r="A944" s="48"/>
      <c r="F944" s="49"/>
    </row>
    <row r="945" ht="14.25" customHeight="1">
      <c r="A945" s="48"/>
      <c r="F945" s="49"/>
    </row>
    <row r="946" ht="14.25" customHeight="1">
      <c r="A946" s="48"/>
      <c r="F946" s="49"/>
    </row>
    <row r="947" ht="14.25" customHeight="1">
      <c r="A947" s="48"/>
      <c r="F947" s="49"/>
    </row>
    <row r="948" ht="14.25" customHeight="1">
      <c r="A948" s="48"/>
      <c r="F948" s="49"/>
    </row>
    <row r="949" ht="14.25" customHeight="1">
      <c r="A949" s="48"/>
      <c r="F949" s="49"/>
    </row>
    <row r="950" ht="14.25" customHeight="1">
      <c r="A950" s="48"/>
      <c r="F950" s="49"/>
    </row>
    <row r="951" ht="14.25" customHeight="1">
      <c r="A951" s="48"/>
      <c r="F951" s="49"/>
    </row>
    <row r="952" ht="14.25" customHeight="1">
      <c r="A952" s="48"/>
      <c r="F952" s="49"/>
    </row>
    <row r="953" ht="14.25" customHeight="1">
      <c r="A953" s="48"/>
      <c r="F953" s="49"/>
    </row>
    <row r="954" ht="14.25" customHeight="1">
      <c r="A954" s="48"/>
      <c r="F954" s="49"/>
    </row>
    <row r="955" ht="14.25" customHeight="1">
      <c r="A955" s="48"/>
      <c r="F955" s="49"/>
    </row>
    <row r="956" ht="14.25" customHeight="1">
      <c r="A956" s="48"/>
      <c r="F956" s="49"/>
    </row>
    <row r="957" ht="14.25" customHeight="1">
      <c r="A957" s="48"/>
      <c r="F957" s="49"/>
    </row>
    <row r="958" ht="14.25" customHeight="1">
      <c r="A958" s="48"/>
      <c r="F958" s="49"/>
    </row>
    <row r="959" ht="14.25" customHeight="1">
      <c r="A959" s="48"/>
      <c r="F959" s="49"/>
    </row>
    <row r="960" ht="14.25" customHeight="1">
      <c r="A960" s="48"/>
      <c r="F960" s="49"/>
    </row>
    <row r="961" ht="14.25" customHeight="1">
      <c r="A961" s="48"/>
      <c r="F961" s="49"/>
    </row>
    <row r="962" ht="14.25" customHeight="1">
      <c r="A962" s="48"/>
      <c r="F962" s="49"/>
    </row>
    <row r="963" ht="14.25" customHeight="1">
      <c r="A963" s="48"/>
      <c r="F963" s="49"/>
    </row>
    <row r="964" ht="14.25" customHeight="1">
      <c r="A964" s="48"/>
      <c r="F964" s="49"/>
    </row>
    <row r="965" ht="14.25" customHeight="1">
      <c r="A965" s="48"/>
      <c r="F965" s="49"/>
    </row>
    <row r="966" ht="14.25" customHeight="1">
      <c r="A966" s="48"/>
      <c r="F966" s="49"/>
    </row>
    <row r="967" ht="14.25" customHeight="1">
      <c r="A967" s="48"/>
      <c r="F967" s="49"/>
    </row>
    <row r="968" ht="14.25" customHeight="1">
      <c r="A968" s="48"/>
      <c r="F968" s="49"/>
    </row>
    <row r="969" ht="14.25" customHeight="1">
      <c r="A969" s="48"/>
      <c r="F969" s="49"/>
    </row>
    <row r="970" ht="14.25" customHeight="1">
      <c r="A970" s="48"/>
      <c r="F970" s="49"/>
    </row>
    <row r="971" ht="14.25" customHeight="1">
      <c r="A971" s="48"/>
      <c r="F971" s="49"/>
    </row>
    <row r="972" ht="14.25" customHeight="1">
      <c r="A972" s="48"/>
      <c r="F972" s="49"/>
    </row>
    <row r="973" ht="14.25" customHeight="1">
      <c r="A973" s="48"/>
      <c r="F973" s="49"/>
    </row>
    <row r="974" ht="14.25" customHeight="1">
      <c r="A974" s="48"/>
      <c r="F974" s="49"/>
    </row>
    <row r="975" ht="14.25" customHeight="1">
      <c r="A975" s="48"/>
      <c r="F975" s="49"/>
    </row>
    <row r="976" ht="14.25" customHeight="1">
      <c r="A976" s="48"/>
      <c r="F976" s="49"/>
    </row>
    <row r="977" ht="14.25" customHeight="1">
      <c r="A977" s="48"/>
      <c r="F977" s="49"/>
    </row>
    <row r="978" ht="14.25" customHeight="1">
      <c r="A978" s="48"/>
      <c r="F978" s="49"/>
    </row>
    <row r="979" ht="14.25" customHeight="1">
      <c r="A979" s="48"/>
      <c r="F979" s="49"/>
    </row>
    <row r="980" ht="14.25" customHeight="1">
      <c r="A980" s="48"/>
      <c r="F980" s="49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1.25"/>
    <col customWidth="1" min="3" max="3" width="14.38"/>
    <col customWidth="1" min="4" max="5" width="8.25"/>
    <col customWidth="1" min="6" max="6" width="7.13"/>
    <col customWidth="1" min="7" max="7" width="13.25"/>
    <col customWidth="1" min="8" max="9" width="7.13"/>
    <col customWidth="1" min="10" max="10" width="14.75"/>
    <col customWidth="1" min="11" max="11" width="6.88"/>
    <col customWidth="1" min="12" max="12" width="9.75"/>
    <col customWidth="1" min="13" max="13" width="14.38"/>
    <col customWidth="1" min="14" max="15" width="8.25"/>
    <col customWidth="1" min="16" max="16" width="7.13"/>
    <col customWidth="1" min="17" max="17" width="13.25"/>
    <col customWidth="1" min="18" max="18" width="4.38"/>
    <col customWidth="1" min="19" max="19" width="5.13"/>
    <col customWidth="1" min="20" max="20" width="7.75"/>
    <col customWidth="1" min="21" max="21" width="6.88"/>
    <col customWidth="1" min="22" max="22" width="9.75"/>
    <col customWidth="1" min="23" max="23" width="14.38"/>
    <col customWidth="1" min="24" max="25" width="8.25"/>
    <col customWidth="1" min="26" max="26" width="7.13"/>
    <col customWidth="1" min="27" max="27" width="13.5"/>
    <col customWidth="1" min="28" max="28" width="4.38"/>
    <col customWidth="1" min="29" max="29" width="5.13"/>
    <col customWidth="1" min="30" max="33" width="7.75"/>
  </cols>
  <sheetData>
    <row r="1" ht="14.25" customHeight="1">
      <c r="A1" s="53" t="s">
        <v>33</v>
      </c>
      <c r="B1" s="54"/>
      <c r="C1" s="54"/>
      <c r="D1" s="54"/>
      <c r="E1" s="55"/>
      <c r="F1" s="54"/>
      <c r="G1" s="54"/>
      <c r="H1" s="54"/>
      <c r="I1" s="54"/>
      <c r="J1" s="54"/>
      <c r="K1" s="53" t="s">
        <v>34</v>
      </c>
      <c r="L1" s="54"/>
      <c r="M1" s="54"/>
      <c r="N1" s="54"/>
      <c r="O1" s="54"/>
      <c r="P1" s="54"/>
      <c r="Q1" s="54"/>
      <c r="R1" s="54"/>
      <c r="S1" s="54"/>
      <c r="T1" s="54"/>
      <c r="U1" s="53" t="s">
        <v>35</v>
      </c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</row>
    <row r="2" ht="14.25" customHeight="1">
      <c r="A2" s="56" t="s">
        <v>12</v>
      </c>
      <c r="B2" s="56" t="s">
        <v>2</v>
      </c>
      <c r="C2" s="56" t="s">
        <v>3</v>
      </c>
      <c r="D2" s="56" t="s">
        <v>4</v>
      </c>
      <c r="E2" s="57" t="s">
        <v>5</v>
      </c>
      <c r="F2" s="58"/>
      <c r="G2" s="58"/>
      <c r="H2" s="58"/>
      <c r="I2" s="58"/>
      <c r="J2" s="58"/>
      <c r="K2" s="56" t="s">
        <v>12</v>
      </c>
      <c r="L2" s="56" t="s">
        <v>2</v>
      </c>
      <c r="M2" s="56" t="s">
        <v>3</v>
      </c>
      <c r="N2" s="56" t="s">
        <v>4</v>
      </c>
      <c r="O2" s="56" t="s">
        <v>5</v>
      </c>
      <c r="P2" s="58"/>
      <c r="Q2" s="58"/>
      <c r="R2" s="58"/>
      <c r="S2" s="58"/>
      <c r="T2" s="58"/>
      <c r="U2" s="56" t="s">
        <v>12</v>
      </c>
      <c r="V2" s="56" t="s">
        <v>2</v>
      </c>
      <c r="W2" s="56" t="s">
        <v>3</v>
      </c>
      <c r="X2" s="56" t="s">
        <v>4</v>
      </c>
      <c r="Y2" s="56" t="s">
        <v>5</v>
      </c>
      <c r="Z2" s="58"/>
      <c r="AA2" s="58"/>
      <c r="AB2" s="58"/>
      <c r="AC2" s="58"/>
      <c r="AD2" s="58"/>
      <c r="AE2" s="58"/>
      <c r="AF2" s="58"/>
      <c r="AG2" s="58"/>
    </row>
    <row r="3" ht="14.25" customHeight="1">
      <c r="A3" s="59" t="s">
        <v>19</v>
      </c>
      <c r="B3" s="60">
        <v>2842.0</v>
      </c>
      <c r="C3" s="60">
        <v>3593.0</v>
      </c>
      <c r="D3" s="60">
        <v>1.8866045E7</v>
      </c>
      <c r="E3" s="61">
        <v>9389215.0</v>
      </c>
      <c r="F3" s="54"/>
      <c r="G3" s="54"/>
      <c r="H3" s="54"/>
      <c r="I3" s="54"/>
      <c r="J3" s="54"/>
      <c r="K3" s="62"/>
      <c r="L3" s="60"/>
      <c r="M3" s="60"/>
      <c r="N3" s="60">
        <v>0.0</v>
      </c>
      <c r="O3" s="60">
        <v>0.0</v>
      </c>
      <c r="P3" s="54"/>
      <c r="Q3" s="54"/>
      <c r="R3" s="54"/>
      <c r="S3" s="54"/>
      <c r="T3" s="54"/>
      <c r="U3" s="62"/>
      <c r="V3" s="60"/>
      <c r="W3" s="60"/>
      <c r="X3" s="60">
        <v>0.0</v>
      </c>
      <c r="Y3" s="60">
        <v>0.0</v>
      </c>
      <c r="Z3" s="54"/>
      <c r="AA3" s="54"/>
      <c r="AB3" s="54"/>
      <c r="AC3" s="54"/>
      <c r="AD3" s="54"/>
      <c r="AE3" s="54"/>
      <c r="AF3" s="54"/>
      <c r="AG3" s="54"/>
    </row>
    <row r="4" ht="14.25" customHeight="1">
      <c r="A4" s="59" t="s">
        <v>20</v>
      </c>
      <c r="B4" s="60">
        <v>529.0</v>
      </c>
      <c r="C4" s="60">
        <v>818.0</v>
      </c>
      <c r="D4" s="60">
        <v>4377010.0</v>
      </c>
      <c r="E4" s="61">
        <v>2173325.0</v>
      </c>
      <c r="F4" s="54"/>
      <c r="G4" s="54"/>
      <c r="H4" s="54"/>
      <c r="I4" s="54"/>
      <c r="J4" s="54"/>
      <c r="K4" s="59" t="s">
        <v>20</v>
      </c>
      <c r="L4" s="60">
        <v>6161.0</v>
      </c>
      <c r="M4" s="60">
        <v>7980.0</v>
      </c>
      <c r="N4" s="60">
        <v>5.0815985E7</v>
      </c>
      <c r="O4" s="60">
        <v>2.616405E7</v>
      </c>
      <c r="P4" s="54"/>
      <c r="Q4" s="54"/>
      <c r="R4" s="54"/>
      <c r="S4" s="54"/>
      <c r="T4" s="54"/>
      <c r="U4" s="62"/>
      <c r="V4" s="60"/>
      <c r="W4" s="60"/>
      <c r="X4" s="60">
        <v>0.0</v>
      </c>
      <c r="Y4" s="60">
        <v>0.0</v>
      </c>
      <c r="Z4" s="54"/>
      <c r="AA4" s="54"/>
      <c r="AB4" s="54"/>
      <c r="AC4" s="54"/>
      <c r="AD4" s="54"/>
      <c r="AE4" s="54"/>
      <c r="AF4" s="54"/>
      <c r="AG4" s="54"/>
    </row>
    <row r="5" ht="14.25" customHeight="1">
      <c r="A5" s="59" t="s">
        <v>21</v>
      </c>
      <c r="B5" s="60">
        <v>237.0</v>
      </c>
      <c r="C5" s="60">
        <v>325.0</v>
      </c>
      <c r="D5" s="60">
        <v>1908940.0</v>
      </c>
      <c r="E5" s="61">
        <v>942755.0</v>
      </c>
      <c r="F5" s="54"/>
      <c r="G5" s="54"/>
      <c r="H5" s="54"/>
      <c r="I5" s="54"/>
      <c r="J5" s="54"/>
      <c r="K5" s="59" t="s">
        <v>21</v>
      </c>
      <c r="L5" s="60">
        <v>619.0</v>
      </c>
      <c r="M5" s="60">
        <v>939.0</v>
      </c>
      <c r="N5" s="60">
        <v>5396435.0</v>
      </c>
      <c r="O5" s="60">
        <v>2596110.0</v>
      </c>
      <c r="P5" s="54"/>
      <c r="Q5" s="54"/>
      <c r="R5" s="54"/>
      <c r="S5" s="54"/>
      <c r="T5" s="54"/>
      <c r="U5" s="62"/>
      <c r="V5" s="60"/>
      <c r="W5" s="60"/>
      <c r="X5" s="60">
        <v>0.0</v>
      </c>
      <c r="Y5" s="60">
        <v>0.0</v>
      </c>
      <c r="Z5" s="54"/>
      <c r="AA5" s="54"/>
      <c r="AB5" s="54"/>
      <c r="AC5" s="54"/>
      <c r="AD5" s="54"/>
      <c r="AE5" s="54"/>
      <c r="AF5" s="54"/>
      <c r="AG5" s="54"/>
    </row>
    <row r="6" ht="14.25" customHeight="1">
      <c r="A6" s="59" t="s">
        <v>22</v>
      </c>
      <c r="B6" s="60">
        <v>318.0</v>
      </c>
      <c r="C6" s="60">
        <v>467.0</v>
      </c>
      <c r="D6" s="60">
        <v>2357300.0</v>
      </c>
      <c r="E6" s="61">
        <v>1154450.0</v>
      </c>
      <c r="F6" s="54"/>
      <c r="G6" s="54"/>
      <c r="H6" s="54"/>
      <c r="I6" s="54"/>
      <c r="J6" s="54"/>
      <c r="K6" s="59" t="s">
        <v>22</v>
      </c>
      <c r="L6" s="60">
        <v>546.0</v>
      </c>
      <c r="M6" s="60">
        <v>855.0</v>
      </c>
      <c r="N6" s="60">
        <v>4014505.0</v>
      </c>
      <c r="O6" s="60">
        <v>1990010.0</v>
      </c>
      <c r="P6" s="54"/>
      <c r="Q6" s="54"/>
      <c r="R6" s="54"/>
      <c r="S6" s="54"/>
      <c r="T6" s="54"/>
      <c r="U6" s="62"/>
      <c r="V6" s="60"/>
      <c r="W6" s="60"/>
      <c r="X6" s="60">
        <v>0.0</v>
      </c>
      <c r="Y6" s="60">
        <v>0.0</v>
      </c>
      <c r="Z6" s="54"/>
      <c r="AA6" s="54"/>
      <c r="AB6" s="54"/>
      <c r="AC6" s="54"/>
      <c r="AD6" s="54"/>
      <c r="AE6" s="54"/>
      <c r="AF6" s="54"/>
      <c r="AG6" s="54"/>
    </row>
    <row r="7" ht="14.25" customHeight="1">
      <c r="A7" s="59" t="s">
        <v>23</v>
      </c>
      <c r="B7" s="60">
        <v>317.0</v>
      </c>
      <c r="C7" s="60">
        <v>468.0</v>
      </c>
      <c r="D7" s="60">
        <v>2213530.0</v>
      </c>
      <c r="E7" s="61">
        <v>1063370.0</v>
      </c>
      <c r="F7" s="54"/>
      <c r="G7" s="54"/>
      <c r="H7" s="54"/>
      <c r="I7" s="54"/>
      <c r="J7" s="54"/>
      <c r="K7" s="59" t="s">
        <v>23</v>
      </c>
      <c r="L7" s="60">
        <v>451.0</v>
      </c>
      <c r="M7" s="60">
        <v>696.0</v>
      </c>
      <c r="N7" s="60">
        <v>3515930.0</v>
      </c>
      <c r="O7" s="60">
        <v>1742015.0</v>
      </c>
      <c r="P7" s="54"/>
      <c r="Q7" s="54"/>
      <c r="R7" s="54"/>
      <c r="S7" s="54"/>
      <c r="T7" s="54"/>
      <c r="U7" s="62"/>
      <c r="V7" s="60"/>
      <c r="W7" s="60"/>
      <c r="X7" s="60">
        <v>0.0</v>
      </c>
      <c r="Y7" s="60">
        <v>0.0</v>
      </c>
      <c r="Z7" s="54"/>
      <c r="AA7" s="54"/>
      <c r="AB7" s="54"/>
      <c r="AC7" s="54"/>
      <c r="AD7" s="54"/>
      <c r="AE7" s="54"/>
      <c r="AF7" s="54"/>
      <c r="AG7" s="54"/>
    </row>
    <row r="8" ht="14.25" customHeight="1">
      <c r="A8" s="59" t="s">
        <v>24</v>
      </c>
      <c r="B8" s="60">
        <v>366.0</v>
      </c>
      <c r="C8" s="60">
        <v>615.0</v>
      </c>
      <c r="D8" s="60">
        <v>3017685.0</v>
      </c>
      <c r="E8" s="61">
        <v>1435610.0</v>
      </c>
      <c r="F8" s="54"/>
      <c r="G8" s="54"/>
      <c r="H8" s="54"/>
      <c r="I8" s="54"/>
      <c r="J8" s="54"/>
      <c r="K8" s="59" t="s">
        <v>24</v>
      </c>
      <c r="L8" s="60">
        <v>939.0</v>
      </c>
      <c r="M8" s="60">
        <v>1579.0</v>
      </c>
      <c r="N8" s="60">
        <v>8754185.0</v>
      </c>
      <c r="O8" s="60">
        <v>4264700.0</v>
      </c>
      <c r="P8" s="54"/>
      <c r="Q8" s="54"/>
      <c r="R8" s="54"/>
      <c r="S8" s="54"/>
      <c r="T8" s="54"/>
      <c r="U8" s="59" t="s">
        <v>24</v>
      </c>
      <c r="V8" s="60">
        <v>5881.0</v>
      </c>
      <c r="W8" s="60">
        <v>7651.0</v>
      </c>
      <c r="X8" s="60">
        <v>4.608989E7</v>
      </c>
      <c r="Y8" s="60">
        <v>2.257783E7</v>
      </c>
      <c r="Z8" s="54"/>
      <c r="AA8" s="54"/>
      <c r="AB8" s="54"/>
      <c r="AC8" s="54"/>
      <c r="AD8" s="54"/>
      <c r="AE8" s="54"/>
      <c r="AF8" s="54"/>
      <c r="AG8" s="54"/>
    </row>
    <row r="9" ht="14.25" customHeight="1">
      <c r="A9" s="59" t="s">
        <v>25</v>
      </c>
      <c r="B9" s="60">
        <v>234.0</v>
      </c>
      <c r="C9" s="60">
        <v>339.0</v>
      </c>
      <c r="D9" s="60">
        <v>1575365.0</v>
      </c>
      <c r="E9" s="61">
        <v>740795.0</v>
      </c>
      <c r="F9" s="54"/>
      <c r="G9" s="54"/>
      <c r="H9" s="54"/>
      <c r="I9" s="54"/>
      <c r="J9" s="54"/>
      <c r="K9" s="59" t="s">
        <v>25</v>
      </c>
      <c r="L9" s="60">
        <v>418.0</v>
      </c>
      <c r="M9" s="60">
        <v>687.0</v>
      </c>
      <c r="N9" s="60">
        <v>3430020.0</v>
      </c>
      <c r="O9" s="60">
        <v>1596375.0</v>
      </c>
      <c r="P9" s="54"/>
      <c r="Q9" s="54"/>
      <c r="R9" s="54"/>
      <c r="S9" s="54"/>
      <c r="T9" s="54"/>
      <c r="U9" s="59" t="s">
        <v>25</v>
      </c>
      <c r="V9" s="60">
        <v>690.0</v>
      </c>
      <c r="W9" s="60">
        <v>1011.0</v>
      </c>
      <c r="X9" s="60">
        <v>5531845.0</v>
      </c>
      <c r="Y9" s="60">
        <v>2540340.0</v>
      </c>
      <c r="Z9" s="54"/>
      <c r="AA9" s="54"/>
      <c r="AB9" s="54"/>
      <c r="AC9" s="54"/>
      <c r="AD9" s="54"/>
      <c r="AE9" s="54"/>
      <c r="AF9" s="54"/>
      <c r="AG9" s="54"/>
    </row>
    <row r="10" ht="14.25" customHeight="1">
      <c r="A10" s="59" t="s">
        <v>26</v>
      </c>
      <c r="B10" s="60">
        <v>254.0</v>
      </c>
      <c r="C10" s="60">
        <v>408.0</v>
      </c>
      <c r="D10" s="60">
        <v>1804770.0</v>
      </c>
      <c r="E10" s="61">
        <v>868560.0</v>
      </c>
      <c r="F10" s="54"/>
      <c r="G10" s="54"/>
      <c r="H10" s="54"/>
      <c r="I10" s="54"/>
      <c r="J10" s="54"/>
      <c r="K10" s="59" t="s">
        <v>26</v>
      </c>
      <c r="L10" s="60">
        <v>442.0</v>
      </c>
      <c r="M10" s="60">
        <v>738.0</v>
      </c>
      <c r="N10" s="60">
        <v>3375460.0</v>
      </c>
      <c r="O10" s="60">
        <v>1614635.0</v>
      </c>
      <c r="P10" s="54"/>
      <c r="Q10" s="54"/>
      <c r="R10" s="54"/>
      <c r="S10" s="54"/>
      <c r="T10" s="54"/>
      <c r="U10" s="59" t="s">
        <v>26</v>
      </c>
      <c r="V10" s="60">
        <v>473.0</v>
      </c>
      <c r="W10" s="60">
        <v>675.0</v>
      </c>
      <c r="X10" s="60">
        <v>3571370.0</v>
      </c>
      <c r="Y10" s="60">
        <v>1677170.0</v>
      </c>
      <c r="Z10" s="54"/>
      <c r="AA10" s="54"/>
      <c r="AB10" s="54"/>
      <c r="AC10" s="54"/>
      <c r="AD10" s="54"/>
      <c r="AE10" s="54"/>
      <c r="AF10" s="54"/>
      <c r="AG10" s="54"/>
    </row>
    <row r="11" ht="14.25" customHeight="1">
      <c r="A11" s="59" t="s">
        <v>27</v>
      </c>
      <c r="B11" s="60">
        <v>269.0</v>
      </c>
      <c r="C11" s="60">
        <v>385.0</v>
      </c>
      <c r="D11" s="60">
        <v>1582735.0</v>
      </c>
      <c r="E11" s="61">
        <v>742940.0</v>
      </c>
      <c r="F11" s="54"/>
      <c r="G11" s="54"/>
      <c r="H11" s="54"/>
      <c r="I11" s="54"/>
      <c r="J11" s="54"/>
      <c r="K11" s="59" t="s">
        <v>27</v>
      </c>
      <c r="L11" s="60">
        <v>430.0</v>
      </c>
      <c r="M11" s="60">
        <v>731.0</v>
      </c>
      <c r="N11" s="60">
        <v>3476385.0</v>
      </c>
      <c r="O11" s="60">
        <v>1640210.0</v>
      </c>
      <c r="P11" s="54"/>
      <c r="Q11" s="54"/>
      <c r="R11" s="54"/>
      <c r="S11" s="54"/>
      <c r="T11" s="54"/>
      <c r="U11" s="59" t="s">
        <v>27</v>
      </c>
      <c r="V11" s="60">
        <v>420.0</v>
      </c>
      <c r="W11" s="60">
        <v>601.0</v>
      </c>
      <c r="X11" s="60">
        <v>2838000.0</v>
      </c>
      <c r="Y11" s="60">
        <v>1371040.0</v>
      </c>
      <c r="Z11" s="54"/>
      <c r="AA11" s="54"/>
      <c r="AB11" s="54"/>
      <c r="AC11" s="54"/>
      <c r="AD11" s="54"/>
      <c r="AE11" s="54"/>
      <c r="AF11" s="54"/>
      <c r="AG11" s="54"/>
    </row>
    <row r="12" ht="14.25" customHeight="1">
      <c r="A12" s="59" t="s">
        <v>28</v>
      </c>
      <c r="B12" s="60">
        <v>358.0</v>
      </c>
      <c r="C12" s="60">
        <v>625.0</v>
      </c>
      <c r="D12" s="60">
        <v>3222065.0</v>
      </c>
      <c r="E12" s="61">
        <v>1519155.0</v>
      </c>
      <c r="F12" s="54"/>
      <c r="G12" s="54"/>
      <c r="H12" s="54"/>
      <c r="I12" s="54"/>
      <c r="J12" s="54"/>
      <c r="K12" s="59" t="s">
        <v>28</v>
      </c>
      <c r="L12" s="60">
        <v>885.0</v>
      </c>
      <c r="M12" s="60">
        <v>1542.0</v>
      </c>
      <c r="N12" s="60">
        <v>8510590.0</v>
      </c>
      <c r="O12" s="60">
        <v>4095850.0</v>
      </c>
      <c r="P12" s="54"/>
      <c r="Q12" s="54"/>
      <c r="R12" s="54"/>
      <c r="S12" s="54"/>
      <c r="T12" s="54"/>
      <c r="U12" s="59" t="s">
        <v>28</v>
      </c>
      <c r="V12" s="60">
        <v>999.0</v>
      </c>
      <c r="W12" s="60">
        <v>1660.0</v>
      </c>
      <c r="X12" s="60">
        <v>8927160.0</v>
      </c>
      <c r="Y12" s="60">
        <v>4306665.0</v>
      </c>
      <c r="Z12" s="54"/>
      <c r="AA12" s="54"/>
      <c r="AB12" s="54"/>
      <c r="AC12" s="54"/>
      <c r="AD12" s="54"/>
      <c r="AE12" s="54"/>
      <c r="AF12" s="54"/>
      <c r="AG12" s="54"/>
    </row>
    <row r="13" ht="14.25" customHeight="1">
      <c r="A13" s="59" t="s">
        <v>29</v>
      </c>
      <c r="B13" s="60">
        <v>220.0</v>
      </c>
      <c r="C13" s="60">
        <v>323.0</v>
      </c>
      <c r="D13" s="60">
        <v>1638945.0</v>
      </c>
      <c r="E13" s="61">
        <v>766755.0</v>
      </c>
      <c r="F13" s="54"/>
      <c r="G13" s="54"/>
      <c r="H13" s="54"/>
      <c r="I13" s="54"/>
      <c r="J13" s="54"/>
      <c r="K13" s="59" t="s">
        <v>29</v>
      </c>
      <c r="L13" s="60">
        <v>381.0</v>
      </c>
      <c r="M13" s="60">
        <v>625.0</v>
      </c>
      <c r="N13" s="60">
        <v>3439535.0</v>
      </c>
      <c r="O13" s="60">
        <v>1651705.0</v>
      </c>
      <c r="P13" s="54"/>
      <c r="Q13" s="54"/>
      <c r="R13" s="54"/>
      <c r="S13" s="54"/>
      <c r="T13" s="54"/>
      <c r="U13" s="59" t="s">
        <v>29</v>
      </c>
      <c r="V13" s="60">
        <v>387.0</v>
      </c>
      <c r="W13" s="60">
        <v>562.0</v>
      </c>
      <c r="X13" s="60">
        <v>3135275.0</v>
      </c>
      <c r="Y13" s="60">
        <v>1509805.0</v>
      </c>
      <c r="Z13" s="54"/>
      <c r="AA13" s="54"/>
      <c r="AB13" s="54"/>
      <c r="AC13" s="54"/>
      <c r="AD13" s="54"/>
      <c r="AE13" s="54"/>
      <c r="AF13" s="54"/>
      <c r="AG13" s="54"/>
    </row>
    <row r="14" ht="14.25" customHeight="1">
      <c r="A14" s="59" t="s">
        <v>30</v>
      </c>
      <c r="B14" s="60">
        <v>224.0</v>
      </c>
      <c r="C14" s="60">
        <v>338.0</v>
      </c>
      <c r="D14" s="60">
        <v>1742675.0</v>
      </c>
      <c r="E14" s="61">
        <v>828905.0</v>
      </c>
      <c r="F14" s="54"/>
      <c r="G14" s="54"/>
      <c r="H14" s="54"/>
      <c r="I14" s="54"/>
      <c r="J14" s="54"/>
      <c r="K14" s="59" t="s">
        <v>30</v>
      </c>
      <c r="L14" s="60">
        <v>384.0</v>
      </c>
      <c r="M14" s="60">
        <v>654.0</v>
      </c>
      <c r="N14" s="60">
        <v>3467475.0</v>
      </c>
      <c r="O14" s="60">
        <v>1650495.0</v>
      </c>
      <c r="P14" s="54"/>
      <c r="Q14" s="54"/>
      <c r="R14" s="54"/>
      <c r="S14" s="54"/>
      <c r="T14" s="54"/>
      <c r="U14" s="59" t="s">
        <v>30</v>
      </c>
      <c r="V14" s="60">
        <v>343.0</v>
      </c>
      <c r="W14" s="60">
        <v>522.0</v>
      </c>
      <c r="X14" s="60">
        <v>2546775.0</v>
      </c>
      <c r="Y14" s="60">
        <v>1241075.0</v>
      </c>
      <c r="Z14" s="54"/>
      <c r="AA14" s="54"/>
      <c r="AB14" s="54"/>
      <c r="AC14" s="54"/>
      <c r="AD14" s="54"/>
      <c r="AE14" s="54"/>
      <c r="AF14" s="54"/>
      <c r="AG14" s="54"/>
    </row>
    <row r="15" ht="14.25" customHeight="1">
      <c r="A15" s="59" t="s">
        <v>31</v>
      </c>
      <c r="B15" s="60">
        <v>230.0</v>
      </c>
      <c r="C15" s="60">
        <v>349.0</v>
      </c>
      <c r="D15" s="60">
        <v>1446720.0</v>
      </c>
      <c r="E15" s="61">
        <v>692780.0</v>
      </c>
      <c r="F15" s="54"/>
      <c r="G15" s="54"/>
      <c r="H15" s="54"/>
      <c r="I15" s="54"/>
      <c r="J15" s="54"/>
      <c r="K15" s="59" t="s">
        <v>31</v>
      </c>
      <c r="L15" s="60">
        <v>351.0</v>
      </c>
      <c r="M15" s="60">
        <v>561.0</v>
      </c>
      <c r="N15" s="60">
        <v>2413840.0</v>
      </c>
      <c r="O15" s="60">
        <v>1158025.0</v>
      </c>
      <c r="P15" s="54"/>
      <c r="Q15" s="54"/>
      <c r="R15" s="54"/>
      <c r="S15" s="54"/>
      <c r="T15" s="54"/>
      <c r="U15" s="59" t="s">
        <v>31</v>
      </c>
      <c r="V15" s="60">
        <v>356.0</v>
      </c>
      <c r="W15" s="60">
        <v>518.0</v>
      </c>
      <c r="X15" s="60">
        <v>2251975.0</v>
      </c>
      <c r="Y15" s="60">
        <v>1074480.0</v>
      </c>
      <c r="Z15" s="54"/>
      <c r="AA15" s="54"/>
      <c r="AB15" s="54"/>
      <c r="AC15" s="54"/>
      <c r="AD15" s="54"/>
      <c r="AE15" s="54"/>
      <c r="AF15" s="54"/>
      <c r="AG15" s="54"/>
    </row>
    <row r="16" ht="14.25" customHeight="1">
      <c r="A16" s="63" t="s">
        <v>32</v>
      </c>
      <c r="B16" s="64">
        <v>311.0</v>
      </c>
      <c r="C16" s="64">
        <v>523.0</v>
      </c>
      <c r="D16" s="64">
        <v>2693735.0</v>
      </c>
      <c r="E16" s="65">
        <v>1293325.0</v>
      </c>
      <c r="F16" s="54"/>
      <c r="G16" s="54"/>
      <c r="H16" s="54"/>
      <c r="I16" s="54"/>
      <c r="J16" s="54"/>
      <c r="K16" s="63" t="s">
        <v>32</v>
      </c>
      <c r="L16" s="64">
        <v>743.0</v>
      </c>
      <c r="M16" s="64">
        <v>1364.0</v>
      </c>
      <c r="N16" s="64">
        <v>7542645.0</v>
      </c>
      <c r="O16" s="64">
        <v>3669875.0</v>
      </c>
      <c r="P16" s="54"/>
      <c r="Q16" s="54"/>
      <c r="R16" s="54"/>
      <c r="S16" s="54"/>
      <c r="T16" s="54"/>
      <c r="U16" s="63" t="s">
        <v>32</v>
      </c>
      <c r="V16" s="64">
        <v>778.0</v>
      </c>
      <c r="W16" s="64">
        <v>1300.0</v>
      </c>
      <c r="X16" s="64">
        <v>7285410.0</v>
      </c>
      <c r="Y16" s="64">
        <v>3469510.0</v>
      </c>
      <c r="Z16" s="54"/>
      <c r="AA16" s="54"/>
      <c r="AB16" s="54"/>
      <c r="AC16" s="54"/>
      <c r="AD16" s="54"/>
      <c r="AE16" s="54"/>
      <c r="AF16" s="54"/>
      <c r="AG16" s="54"/>
    </row>
    <row r="17" ht="14.25" customHeight="1">
      <c r="A17" s="66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</row>
    <row r="18" ht="14.25" customHeight="1">
      <c r="A18" s="66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</row>
    <row r="19" ht="14.25" customHeight="1">
      <c r="A19" s="67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</row>
    <row r="20" ht="14.25" customHeight="1">
      <c r="A20" s="69" t="s">
        <v>12</v>
      </c>
      <c r="B20" s="69" t="s">
        <v>2</v>
      </c>
      <c r="C20" s="69" t="s">
        <v>3</v>
      </c>
      <c r="D20" s="69" t="s">
        <v>4</v>
      </c>
      <c r="E20" s="69" t="s">
        <v>5</v>
      </c>
      <c r="F20" s="69" t="s">
        <v>13</v>
      </c>
      <c r="G20" s="69" t="s">
        <v>14</v>
      </c>
      <c r="H20" s="69" t="s">
        <v>15</v>
      </c>
      <c r="I20" s="69" t="s">
        <v>16</v>
      </c>
      <c r="J20" s="58"/>
      <c r="K20" s="69" t="s">
        <v>12</v>
      </c>
      <c r="L20" s="69" t="s">
        <v>2</v>
      </c>
      <c r="M20" s="69" t="s">
        <v>3</v>
      </c>
      <c r="N20" s="69" t="s">
        <v>4</v>
      </c>
      <c r="O20" s="69" t="s">
        <v>5</v>
      </c>
      <c r="P20" s="69" t="s">
        <v>13</v>
      </c>
      <c r="Q20" s="69" t="s">
        <v>14</v>
      </c>
      <c r="R20" s="69" t="s">
        <v>15</v>
      </c>
      <c r="S20" s="69" t="s">
        <v>16</v>
      </c>
      <c r="T20" s="54"/>
      <c r="U20" s="69" t="s">
        <v>12</v>
      </c>
      <c r="V20" s="69" t="s">
        <v>2</v>
      </c>
      <c r="W20" s="69" t="s">
        <v>3</v>
      </c>
      <c r="X20" s="69" t="s">
        <v>4</v>
      </c>
      <c r="Y20" s="69" t="s">
        <v>5</v>
      </c>
      <c r="Z20" s="69" t="s">
        <v>13</v>
      </c>
      <c r="AA20" s="69" t="s">
        <v>14</v>
      </c>
      <c r="AB20" s="69" t="s">
        <v>15</v>
      </c>
      <c r="AC20" s="69" t="s">
        <v>16</v>
      </c>
      <c r="AD20" s="54"/>
      <c r="AE20" s="54"/>
      <c r="AF20" s="54"/>
      <c r="AG20" s="54"/>
    </row>
    <row r="21" ht="14.25" customHeight="1">
      <c r="A21" s="70" t="str">
        <f t="shared" ref="A21:E21" si="1">A3</f>
        <v>2021Q3</v>
      </c>
      <c r="B21" s="71">
        <f t="shared" si="1"/>
        <v>2842</v>
      </c>
      <c r="C21" s="71">
        <f t="shared" si="1"/>
        <v>3593</v>
      </c>
      <c r="D21" s="71">
        <f t="shared" si="1"/>
        <v>18866045</v>
      </c>
      <c r="E21" s="71">
        <f t="shared" si="1"/>
        <v>9389215</v>
      </c>
      <c r="F21" s="72">
        <f t="shared" ref="F21:F34" si="4">B3/$B$3</f>
        <v>1</v>
      </c>
      <c r="G21" s="73">
        <f t="shared" ref="G21:G34" si="5">D3/B3</f>
        <v>6638.298733</v>
      </c>
      <c r="H21" s="74">
        <f t="shared" ref="H21:I21" si="2">C3/B3</f>
        <v>1.264250528</v>
      </c>
      <c r="I21" s="73">
        <f t="shared" si="2"/>
        <v>5250.777901</v>
      </c>
      <c r="J21" s="54"/>
      <c r="K21" s="54"/>
      <c r="L21" s="75"/>
      <c r="M21" s="71"/>
      <c r="N21" s="71"/>
      <c r="O21" s="71"/>
      <c r="P21" s="72"/>
      <c r="Q21" s="74"/>
      <c r="R21" s="74"/>
      <c r="S21" s="74"/>
      <c r="T21" s="54"/>
      <c r="U21" s="54"/>
      <c r="V21" s="75"/>
      <c r="W21" s="71"/>
      <c r="X21" s="71"/>
      <c r="Y21" s="71"/>
      <c r="Z21" s="72"/>
      <c r="AA21" s="74"/>
      <c r="AB21" s="74"/>
      <c r="AC21" s="74"/>
      <c r="AD21" s="54"/>
      <c r="AE21" s="54"/>
      <c r="AF21" s="54"/>
      <c r="AG21" s="54"/>
    </row>
    <row r="22" ht="14.25" customHeight="1">
      <c r="A22" s="70" t="str">
        <f t="shared" ref="A22:E22" si="3">A4</f>
        <v>2021Q4</v>
      </c>
      <c r="B22" s="71">
        <f t="shared" si="3"/>
        <v>529</v>
      </c>
      <c r="C22" s="71">
        <f t="shared" si="3"/>
        <v>818</v>
      </c>
      <c r="D22" s="71">
        <f t="shared" si="3"/>
        <v>4377010</v>
      </c>
      <c r="E22" s="71">
        <f t="shared" si="3"/>
        <v>2173325</v>
      </c>
      <c r="F22" s="72">
        <f t="shared" si="4"/>
        <v>0.1861365236</v>
      </c>
      <c r="G22" s="73">
        <f t="shared" si="5"/>
        <v>8274.120983</v>
      </c>
      <c r="H22" s="74">
        <f t="shared" ref="H22:I22" si="6">C4/B4</f>
        <v>1.5463138</v>
      </c>
      <c r="I22" s="73">
        <f t="shared" si="6"/>
        <v>5350.867971</v>
      </c>
      <c r="J22" s="54"/>
      <c r="K22" s="70" t="str">
        <f t="shared" ref="K22:O22" si="7">K4</f>
        <v>2021Q4</v>
      </c>
      <c r="L22" s="71">
        <f t="shared" si="7"/>
        <v>6161</v>
      </c>
      <c r="M22" s="71">
        <f t="shared" si="7"/>
        <v>7980</v>
      </c>
      <c r="N22" s="71">
        <f t="shared" si="7"/>
        <v>50815985</v>
      </c>
      <c r="O22" s="71">
        <f t="shared" si="7"/>
        <v>26164050</v>
      </c>
      <c r="P22" s="72">
        <f t="shared" ref="P22:P34" si="12">L4/$L$4</f>
        <v>1</v>
      </c>
      <c r="Q22" s="73">
        <f t="shared" ref="Q22:Q34" si="13">N4/L4</f>
        <v>8248.009252</v>
      </c>
      <c r="R22" s="74">
        <f t="shared" ref="R22:S22" si="8">M4/L4</f>
        <v>1.295244279</v>
      </c>
      <c r="S22" s="73">
        <f t="shared" si="8"/>
        <v>6367.91792</v>
      </c>
      <c r="T22" s="54"/>
      <c r="U22" s="54"/>
      <c r="V22" s="75"/>
      <c r="W22" s="71"/>
      <c r="X22" s="71"/>
      <c r="Y22" s="71"/>
      <c r="Z22" s="72"/>
      <c r="AA22" s="74"/>
      <c r="AB22" s="74"/>
      <c r="AC22" s="74"/>
      <c r="AD22" s="54"/>
      <c r="AE22" s="54"/>
      <c r="AF22" s="54"/>
      <c r="AG22" s="54"/>
    </row>
    <row r="23" ht="14.25" customHeight="1">
      <c r="A23" s="70" t="str">
        <f t="shared" ref="A23:E23" si="9">A5</f>
        <v>2022Q1</v>
      </c>
      <c r="B23" s="71">
        <f t="shared" si="9"/>
        <v>237</v>
      </c>
      <c r="C23" s="71">
        <f t="shared" si="9"/>
        <v>325</v>
      </c>
      <c r="D23" s="71">
        <f t="shared" si="9"/>
        <v>1908940</v>
      </c>
      <c r="E23" s="71">
        <f t="shared" si="9"/>
        <v>942755</v>
      </c>
      <c r="F23" s="72">
        <f t="shared" si="4"/>
        <v>0.08339197748</v>
      </c>
      <c r="G23" s="73">
        <f t="shared" si="5"/>
        <v>8054.599156</v>
      </c>
      <c r="H23" s="74">
        <f t="shared" ref="H23:I23" si="10">C5/B5</f>
        <v>1.371308017</v>
      </c>
      <c r="I23" s="73">
        <f t="shared" si="10"/>
        <v>5873.661538</v>
      </c>
      <c r="J23" s="54"/>
      <c r="K23" s="70" t="str">
        <f t="shared" ref="K23:O23" si="11">K5</f>
        <v>2022Q1</v>
      </c>
      <c r="L23" s="71">
        <f t="shared" si="11"/>
        <v>619</v>
      </c>
      <c r="M23" s="71">
        <f t="shared" si="11"/>
        <v>939</v>
      </c>
      <c r="N23" s="71">
        <f t="shared" si="11"/>
        <v>5396435</v>
      </c>
      <c r="O23" s="71">
        <f t="shared" si="11"/>
        <v>2596110</v>
      </c>
      <c r="P23" s="72">
        <f t="shared" si="12"/>
        <v>0.1004707028</v>
      </c>
      <c r="Q23" s="73">
        <f t="shared" si="13"/>
        <v>8717.988691</v>
      </c>
      <c r="R23" s="74">
        <f t="shared" ref="R23:S23" si="14">M5/L5</f>
        <v>1.516962843</v>
      </c>
      <c r="S23" s="73">
        <f t="shared" si="14"/>
        <v>5747.00213</v>
      </c>
      <c r="T23" s="54"/>
      <c r="U23" s="54"/>
      <c r="V23" s="75"/>
      <c r="W23" s="71"/>
      <c r="X23" s="71"/>
      <c r="Y23" s="71"/>
      <c r="Z23" s="72"/>
      <c r="AA23" s="74"/>
      <c r="AB23" s="74"/>
      <c r="AC23" s="74"/>
      <c r="AD23" s="54"/>
      <c r="AE23" s="54"/>
      <c r="AF23" s="54"/>
      <c r="AG23" s="54"/>
    </row>
    <row r="24" ht="14.25" customHeight="1">
      <c r="A24" s="70" t="str">
        <f t="shared" ref="A24:E24" si="15">A6</f>
        <v>2022Q2</v>
      </c>
      <c r="B24" s="71">
        <f t="shared" si="15"/>
        <v>318</v>
      </c>
      <c r="C24" s="71">
        <f t="shared" si="15"/>
        <v>467</v>
      </c>
      <c r="D24" s="71">
        <f t="shared" si="15"/>
        <v>2357300</v>
      </c>
      <c r="E24" s="71">
        <f t="shared" si="15"/>
        <v>1154450</v>
      </c>
      <c r="F24" s="72">
        <f t="shared" si="4"/>
        <v>0.1118930331</v>
      </c>
      <c r="G24" s="73">
        <f t="shared" si="5"/>
        <v>7412.893082</v>
      </c>
      <c r="H24" s="74">
        <f t="shared" ref="H24:I24" si="16">C6/B6</f>
        <v>1.468553459</v>
      </c>
      <c r="I24" s="73">
        <f t="shared" si="16"/>
        <v>5047.751606</v>
      </c>
      <c r="J24" s="54"/>
      <c r="K24" s="70" t="str">
        <f t="shared" ref="K24:O24" si="17">K6</f>
        <v>2022Q2</v>
      </c>
      <c r="L24" s="71">
        <f t="shared" si="17"/>
        <v>546</v>
      </c>
      <c r="M24" s="71">
        <f t="shared" si="17"/>
        <v>855</v>
      </c>
      <c r="N24" s="71">
        <f t="shared" si="17"/>
        <v>4014505</v>
      </c>
      <c r="O24" s="71">
        <f t="shared" si="17"/>
        <v>1990010</v>
      </c>
      <c r="P24" s="72">
        <f t="shared" si="12"/>
        <v>0.08862197695</v>
      </c>
      <c r="Q24" s="73">
        <f t="shared" si="13"/>
        <v>7352.57326</v>
      </c>
      <c r="R24" s="74">
        <f t="shared" ref="R24:S24" si="18">M6/L6</f>
        <v>1.565934066</v>
      </c>
      <c r="S24" s="73">
        <f t="shared" si="18"/>
        <v>4695.327485</v>
      </c>
      <c r="T24" s="54"/>
      <c r="U24" s="54"/>
      <c r="V24" s="75"/>
      <c r="W24" s="71"/>
      <c r="X24" s="71"/>
      <c r="Y24" s="71"/>
      <c r="Z24" s="72"/>
      <c r="AA24" s="74"/>
      <c r="AB24" s="74"/>
      <c r="AC24" s="74"/>
      <c r="AD24" s="54"/>
      <c r="AE24" s="54"/>
      <c r="AF24" s="54"/>
      <c r="AG24" s="54"/>
    </row>
    <row r="25" ht="14.25" customHeight="1">
      <c r="A25" s="70" t="str">
        <f t="shared" ref="A25:E25" si="19">A7</f>
        <v>2022Q3</v>
      </c>
      <c r="B25" s="71">
        <f t="shared" si="19"/>
        <v>317</v>
      </c>
      <c r="C25" s="71">
        <f t="shared" si="19"/>
        <v>468</v>
      </c>
      <c r="D25" s="71">
        <f t="shared" si="19"/>
        <v>2213530</v>
      </c>
      <c r="E25" s="71">
        <f t="shared" si="19"/>
        <v>1063370</v>
      </c>
      <c r="F25" s="72">
        <f t="shared" si="4"/>
        <v>0.1115411682</v>
      </c>
      <c r="G25" s="73">
        <f t="shared" si="5"/>
        <v>6982.744479</v>
      </c>
      <c r="H25" s="74">
        <f t="shared" ref="H25:I25" si="20">C7/B7</f>
        <v>1.476340694</v>
      </c>
      <c r="I25" s="73">
        <f t="shared" si="20"/>
        <v>4729.764957</v>
      </c>
      <c r="J25" s="54"/>
      <c r="K25" s="70" t="str">
        <f t="shared" ref="K25:O25" si="21">K7</f>
        <v>2022Q3</v>
      </c>
      <c r="L25" s="71">
        <f t="shared" si="21"/>
        <v>451</v>
      </c>
      <c r="M25" s="71">
        <f t="shared" si="21"/>
        <v>696</v>
      </c>
      <c r="N25" s="71">
        <f t="shared" si="21"/>
        <v>3515930</v>
      </c>
      <c r="O25" s="71">
        <f t="shared" si="21"/>
        <v>1742015</v>
      </c>
      <c r="P25" s="72">
        <f t="shared" si="12"/>
        <v>0.07320240221</v>
      </c>
      <c r="Q25" s="73">
        <f t="shared" si="13"/>
        <v>7795.853659</v>
      </c>
      <c r="R25" s="74">
        <f t="shared" ref="R25:S25" si="22">M7/L7</f>
        <v>1.543237251</v>
      </c>
      <c r="S25" s="73">
        <f t="shared" si="22"/>
        <v>5051.623563</v>
      </c>
      <c r="T25" s="54"/>
      <c r="U25" s="54"/>
      <c r="V25" s="75"/>
      <c r="W25" s="71"/>
      <c r="X25" s="71"/>
      <c r="Y25" s="71"/>
      <c r="Z25" s="72"/>
      <c r="AA25" s="74"/>
      <c r="AB25" s="74"/>
      <c r="AC25" s="74"/>
      <c r="AD25" s="54"/>
      <c r="AE25" s="54"/>
      <c r="AF25" s="54"/>
      <c r="AG25" s="54"/>
    </row>
    <row r="26" ht="14.25" customHeight="1">
      <c r="A26" s="70" t="str">
        <f t="shared" ref="A26:E26" si="23">A8</f>
        <v>2022Q4</v>
      </c>
      <c r="B26" s="71">
        <f t="shared" si="23"/>
        <v>366</v>
      </c>
      <c r="C26" s="71">
        <f t="shared" si="23"/>
        <v>615</v>
      </c>
      <c r="D26" s="71">
        <f t="shared" si="23"/>
        <v>3017685</v>
      </c>
      <c r="E26" s="71">
        <f t="shared" si="23"/>
        <v>1435610</v>
      </c>
      <c r="F26" s="72">
        <f t="shared" si="4"/>
        <v>0.1287825475</v>
      </c>
      <c r="G26" s="73">
        <f t="shared" si="5"/>
        <v>8245.040984</v>
      </c>
      <c r="H26" s="74">
        <f t="shared" ref="H26:I26" si="24">C8/B8</f>
        <v>1.680327869</v>
      </c>
      <c r="I26" s="73">
        <f t="shared" si="24"/>
        <v>4906.804878</v>
      </c>
      <c r="J26" s="54"/>
      <c r="K26" s="70" t="str">
        <f t="shared" ref="K26:O26" si="25">K8</f>
        <v>2022Q4</v>
      </c>
      <c r="L26" s="71">
        <f t="shared" si="25"/>
        <v>939</v>
      </c>
      <c r="M26" s="71">
        <f t="shared" si="25"/>
        <v>1579</v>
      </c>
      <c r="N26" s="71">
        <f t="shared" si="25"/>
        <v>8754185</v>
      </c>
      <c r="O26" s="71">
        <f t="shared" si="25"/>
        <v>4264700</v>
      </c>
      <c r="P26" s="72">
        <f t="shared" si="12"/>
        <v>0.152410323</v>
      </c>
      <c r="Q26" s="73">
        <f t="shared" si="13"/>
        <v>9322.880724</v>
      </c>
      <c r="R26" s="74">
        <f t="shared" ref="R26:S26" si="26">M8/L8</f>
        <v>1.681576145</v>
      </c>
      <c r="S26" s="73">
        <f t="shared" si="26"/>
        <v>5544.132362</v>
      </c>
      <c r="T26" s="54"/>
      <c r="U26" s="76" t="s">
        <v>24</v>
      </c>
      <c r="V26" s="71">
        <f t="shared" ref="V26:Y26" si="27">V8</f>
        <v>5881</v>
      </c>
      <c r="W26" s="71">
        <f t="shared" si="27"/>
        <v>7651</v>
      </c>
      <c r="X26" s="71">
        <f t="shared" si="27"/>
        <v>46089890</v>
      </c>
      <c r="Y26" s="71">
        <f t="shared" si="27"/>
        <v>22577830</v>
      </c>
      <c r="Z26" s="72">
        <f t="shared" ref="Z26:Z34" si="34">V8/$V$8</f>
        <v>1</v>
      </c>
      <c r="AA26" s="73">
        <f t="shared" ref="AA26:AA34" si="35">X8/V8</f>
        <v>7837.083829</v>
      </c>
      <c r="AB26" s="74">
        <f t="shared" ref="AB26:AC26" si="28">W8/V8</f>
        <v>1.300969223</v>
      </c>
      <c r="AC26" s="77">
        <f t="shared" si="28"/>
        <v>6024.034767</v>
      </c>
      <c r="AD26" s="54"/>
      <c r="AE26" s="54"/>
      <c r="AF26" s="54"/>
      <c r="AG26" s="54"/>
    </row>
    <row r="27" ht="14.25" customHeight="1">
      <c r="A27" s="70" t="str">
        <f t="shared" ref="A27:E27" si="29">A9</f>
        <v>2023Q1</v>
      </c>
      <c r="B27" s="71">
        <f t="shared" si="29"/>
        <v>234</v>
      </c>
      <c r="C27" s="71">
        <f t="shared" si="29"/>
        <v>339</v>
      </c>
      <c r="D27" s="71">
        <f t="shared" si="29"/>
        <v>1575365</v>
      </c>
      <c r="E27" s="71">
        <f t="shared" si="29"/>
        <v>740795</v>
      </c>
      <c r="F27" s="72">
        <f t="shared" si="4"/>
        <v>0.08233638283</v>
      </c>
      <c r="G27" s="73">
        <f t="shared" si="5"/>
        <v>6732.32906</v>
      </c>
      <c r="H27" s="74">
        <f t="shared" ref="H27:I27" si="30">C9/B9</f>
        <v>1.448717949</v>
      </c>
      <c r="I27" s="73">
        <f t="shared" si="30"/>
        <v>4647.094395</v>
      </c>
      <c r="J27" s="54"/>
      <c r="K27" s="70" t="str">
        <f t="shared" ref="K27:O27" si="31">K9</f>
        <v>2023Q1</v>
      </c>
      <c r="L27" s="71">
        <f t="shared" si="31"/>
        <v>418</v>
      </c>
      <c r="M27" s="71">
        <f t="shared" si="31"/>
        <v>687</v>
      </c>
      <c r="N27" s="71">
        <f t="shared" si="31"/>
        <v>3430020</v>
      </c>
      <c r="O27" s="71">
        <f t="shared" si="31"/>
        <v>1596375</v>
      </c>
      <c r="P27" s="72">
        <f t="shared" si="12"/>
        <v>0.06784612888</v>
      </c>
      <c r="Q27" s="73">
        <f t="shared" si="13"/>
        <v>8205.789474</v>
      </c>
      <c r="R27" s="74">
        <f t="shared" ref="R27:S27" si="32">M9/L9</f>
        <v>1.64354067</v>
      </c>
      <c r="S27" s="73">
        <f t="shared" si="32"/>
        <v>4992.751092</v>
      </c>
      <c r="T27" s="54"/>
      <c r="U27" s="70" t="str">
        <f t="shared" ref="U27:Y27" si="33">U9</f>
        <v>2023Q1</v>
      </c>
      <c r="V27" s="71">
        <f t="shared" si="33"/>
        <v>690</v>
      </c>
      <c r="W27" s="71">
        <f t="shared" si="33"/>
        <v>1011</v>
      </c>
      <c r="X27" s="71">
        <f t="shared" si="33"/>
        <v>5531845</v>
      </c>
      <c r="Y27" s="71">
        <f t="shared" si="33"/>
        <v>2540340</v>
      </c>
      <c r="Z27" s="72">
        <f t="shared" si="34"/>
        <v>0.1173269852</v>
      </c>
      <c r="AA27" s="73">
        <f t="shared" si="35"/>
        <v>8017.166667</v>
      </c>
      <c r="AB27" s="74">
        <f t="shared" ref="AB27:AC27" si="36">W9/V9</f>
        <v>1.465217391</v>
      </c>
      <c r="AC27" s="77">
        <f t="shared" si="36"/>
        <v>5471.656775</v>
      </c>
      <c r="AD27" s="54"/>
      <c r="AE27" s="54"/>
      <c r="AF27" s="54"/>
      <c r="AG27" s="54"/>
    </row>
    <row r="28" ht="14.25" customHeight="1">
      <c r="A28" s="70" t="str">
        <f t="shared" ref="A28:E28" si="37">A10</f>
        <v>2023Q2</v>
      </c>
      <c r="B28" s="71">
        <f t="shared" si="37"/>
        <v>254</v>
      </c>
      <c r="C28" s="71">
        <f t="shared" si="37"/>
        <v>408</v>
      </c>
      <c r="D28" s="71">
        <f t="shared" si="37"/>
        <v>1804770</v>
      </c>
      <c r="E28" s="71">
        <f t="shared" si="37"/>
        <v>868560</v>
      </c>
      <c r="F28" s="72">
        <f t="shared" si="4"/>
        <v>0.08937368051</v>
      </c>
      <c r="G28" s="73">
        <f t="shared" si="5"/>
        <v>7105.393701</v>
      </c>
      <c r="H28" s="74">
        <f t="shared" ref="H28:I28" si="38">C10/B10</f>
        <v>1.606299213</v>
      </c>
      <c r="I28" s="73">
        <f t="shared" si="38"/>
        <v>4423.455882</v>
      </c>
      <c r="J28" s="54"/>
      <c r="K28" s="70" t="str">
        <f t="shared" ref="K28:O28" si="39">K10</f>
        <v>2023Q2</v>
      </c>
      <c r="L28" s="71">
        <f t="shared" si="39"/>
        <v>442</v>
      </c>
      <c r="M28" s="71">
        <f t="shared" si="39"/>
        <v>738</v>
      </c>
      <c r="N28" s="71">
        <f t="shared" si="39"/>
        <v>3375460</v>
      </c>
      <c r="O28" s="71">
        <f t="shared" si="39"/>
        <v>1614635</v>
      </c>
      <c r="P28" s="72">
        <f t="shared" si="12"/>
        <v>0.07174160039</v>
      </c>
      <c r="Q28" s="73">
        <f t="shared" si="13"/>
        <v>7636.78733</v>
      </c>
      <c r="R28" s="74">
        <f t="shared" ref="R28:S28" si="40">M10/L10</f>
        <v>1.669683258</v>
      </c>
      <c r="S28" s="73">
        <f t="shared" si="40"/>
        <v>4573.794038</v>
      </c>
      <c r="T28" s="54"/>
      <c r="U28" s="70" t="str">
        <f t="shared" ref="U28:Y28" si="41">U10</f>
        <v>2023Q2</v>
      </c>
      <c r="V28" s="71">
        <f t="shared" si="41"/>
        <v>473</v>
      </c>
      <c r="W28" s="71">
        <f t="shared" si="41"/>
        <v>675</v>
      </c>
      <c r="X28" s="71">
        <f t="shared" si="41"/>
        <v>3571370</v>
      </c>
      <c r="Y28" s="71">
        <f t="shared" si="41"/>
        <v>1677170</v>
      </c>
      <c r="Z28" s="72">
        <f t="shared" si="34"/>
        <v>0.08042849855</v>
      </c>
      <c r="AA28" s="73">
        <f t="shared" si="35"/>
        <v>7550.465116</v>
      </c>
      <c r="AB28" s="74">
        <f t="shared" ref="AB28:AC28" si="42">W10/V10</f>
        <v>1.427061311</v>
      </c>
      <c r="AC28" s="77">
        <f t="shared" si="42"/>
        <v>5290.918519</v>
      </c>
      <c r="AD28" s="54"/>
      <c r="AE28" s="54"/>
      <c r="AF28" s="54"/>
      <c r="AG28" s="54"/>
    </row>
    <row r="29" ht="14.25" customHeight="1">
      <c r="A29" s="70" t="str">
        <f t="shared" ref="A29:E29" si="43">A11</f>
        <v>2023Q3</v>
      </c>
      <c r="B29" s="71">
        <f t="shared" si="43"/>
        <v>269</v>
      </c>
      <c r="C29" s="71">
        <f t="shared" si="43"/>
        <v>385</v>
      </c>
      <c r="D29" s="71">
        <f t="shared" si="43"/>
        <v>1582735</v>
      </c>
      <c r="E29" s="71">
        <f t="shared" si="43"/>
        <v>742940</v>
      </c>
      <c r="F29" s="72">
        <f t="shared" si="4"/>
        <v>0.09465165376</v>
      </c>
      <c r="G29" s="73">
        <f t="shared" si="5"/>
        <v>5883.773234</v>
      </c>
      <c r="H29" s="74">
        <f t="shared" ref="H29:I29" si="44">C11/B11</f>
        <v>1.431226766</v>
      </c>
      <c r="I29" s="73">
        <f t="shared" si="44"/>
        <v>4111</v>
      </c>
      <c r="J29" s="54"/>
      <c r="K29" s="70" t="str">
        <f t="shared" ref="K29:O29" si="45">K11</f>
        <v>2023Q3</v>
      </c>
      <c r="L29" s="71">
        <f t="shared" si="45"/>
        <v>430</v>
      </c>
      <c r="M29" s="71">
        <f t="shared" si="45"/>
        <v>731</v>
      </c>
      <c r="N29" s="71">
        <f t="shared" si="45"/>
        <v>3476385</v>
      </c>
      <c r="O29" s="71">
        <f t="shared" si="45"/>
        <v>1640210</v>
      </c>
      <c r="P29" s="72">
        <f t="shared" si="12"/>
        <v>0.06979386463</v>
      </c>
      <c r="Q29" s="73">
        <f t="shared" si="13"/>
        <v>8084.616279</v>
      </c>
      <c r="R29" s="74">
        <f t="shared" ref="R29:S29" si="46">M11/L11</f>
        <v>1.7</v>
      </c>
      <c r="S29" s="73">
        <f t="shared" si="46"/>
        <v>4755.656635</v>
      </c>
      <c r="T29" s="54"/>
      <c r="U29" s="70" t="str">
        <f t="shared" ref="U29:Y29" si="47">U11</f>
        <v>2023Q3</v>
      </c>
      <c r="V29" s="71">
        <f t="shared" si="47"/>
        <v>420</v>
      </c>
      <c r="W29" s="71">
        <f t="shared" si="47"/>
        <v>601</v>
      </c>
      <c r="X29" s="71">
        <f t="shared" si="47"/>
        <v>2838000</v>
      </c>
      <c r="Y29" s="71">
        <f t="shared" si="47"/>
        <v>1371040</v>
      </c>
      <c r="Z29" s="72">
        <f t="shared" si="34"/>
        <v>0.07141642578</v>
      </c>
      <c r="AA29" s="73">
        <f t="shared" si="35"/>
        <v>6757.142857</v>
      </c>
      <c r="AB29" s="74">
        <f t="shared" ref="AB29:AC29" si="48">W11/V11</f>
        <v>1.430952381</v>
      </c>
      <c r="AC29" s="77">
        <f t="shared" si="48"/>
        <v>4722.129784</v>
      </c>
      <c r="AD29" s="54"/>
      <c r="AE29" s="54"/>
      <c r="AF29" s="54"/>
      <c r="AG29" s="54"/>
    </row>
    <row r="30" ht="14.25" customHeight="1">
      <c r="A30" s="70" t="str">
        <f t="shared" ref="A30:E30" si="49">A12</f>
        <v>2023Q4</v>
      </c>
      <c r="B30" s="71">
        <f t="shared" si="49"/>
        <v>358</v>
      </c>
      <c r="C30" s="71">
        <f t="shared" si="49"/>
        <v>625</v>
      </c>
      <c r="D30" s="71">
        <f t="shared" si="49"/>
        <v>3222065</v>
      </c>
      <c r="E30" s="71">
        <f t="shared" si="49"/>
        <v>1519155</v>
      </c>
      <c r="F30" s="72">
        <f t="shared" si="4"/>
        <v>0.1259676284</v>
      </c>
      <c r="G30" s="73">
        <f t="shared" si="5"/>
        <v>9000.181564</v>
      </c>
      <c r="H30" s="74">
        <f t="shared" ref="H30:I30" si="50">C12/B12</f>
        <v>1.745810056</v>
      </c>
      <c r="I30" s="73">
        <f t="shared" si="50"/>
        <v>5155.304</v>
      </c>
      <c r="J30" s="54"/>
      <c r="K30" s="70" t="str">
        <f t="shared" ref="K30:O30" si="51">K12</f>
        <v>2023Q4</v>
      </c>
      <c r="L30" s="71">
        <f t="shared" si="51"/>
        <v>885</v>
      </c>
      <c r="M30" s="71">
        <f t="shared" si="51"/>
        <v>1542</v>
      </c>
      <c r="N30" s="71">
        <f t="shared" si="51"/>
        <v>8510590</v>
      </c>
      <c r="O30" s="71">
        <f t="shared" si="51"/>
        <v>4095850</v>
      </c>
      <c r="P30" s="72">
        <f t="shared" si="12"/>
        <v>0.1436455121</v>
      </c>
      <c r="Q30" s="73">
        <f t="shared" si="13"/>
        <v>9616.485876</v>
      </c>
      <c r="R30" s="74">
        <f t="shared" ref="R30:S30" si="52">M12/L12</f>
        <v>1.742372881</v>
      </c>
      <c r="S30" s="73">
        <f t="shared" si="52"/>
        <v>5519.189364</v>
      </c>
      <c r="T30" s="54"/>
      <c r="U30" s="70" t="str">
        <f t="shared" ref="U30:Y30" si="53">U12</f>
        <v>2023Q4</v>
      </c>
      <c r="V30" s="71">
        <f t="shared" si="53"/>
        <v>999</v>
      </c>
      <c r="W30" s="71">
        <f t="shared" si="53"/>
        <v>1660</v>
      </c>
      <c r="X30" s="71">
        <f t="shared" si="53"/>
        <v>8927160</v>
      </c>
      <c r="Y30" s="71">
        <f t="shared" si="53"/>
        <v>4306665</v>
      </c>
      <c r="Z30" s="72">
        <f t="shared" si="34"/>
        <v>0.1698690699</v>
      </c>
      <c r="AA30" s="73">
        <f t="shared" si="35"/>
        <v>8936.096096</v>
      </c>
      <c r="AB30" s="74">
        <f t="shared" ref="AB30:AC30" si="54">W12/V12</f>
        <v>1.661661662</v>
      </c>
      <c r="AC30" s="77">
        <f t="shared" si="54"/>
        <v>5377.807229</v>
      </c>
      <c r="AD30" s="54"/>
      <c r="AE30" s="54"/>
      <c r="AF30" s="54"/>
      <c r="AG30" s="54"/>
    </row>
    <row r="31" ht="14.25" customHeight="1">
      <c r="A31" s="70" t="str">
        <f t="shared" ref="A31:E31" si="55">A13</f>
        <v>2024Q1</v>
      </c>
      <c r="B31" s="71">
        <f t="shared" si="55"/>
        <v>220</v>
      </c>
      <c r="C31" s="71">
        <f t="shared" si="55"/>
        <v>323</v>
      </c>
      <c r="D31" s="71">
        <f t="shared" si="55"/>
        <v>1638945</v>
      </c>
      <c r="E31" s="71">
        <f t="shared" si="55"/>
        <v>766755</v>
      </c>
      <c r="F31" s="72">
        <f t="shared" si="4"/>
        <v>0.07741027445</v>
      </c>
      <c r="G31" s="73">
        <f t="shared" si="5"/>
        <v>7449.75</v>
      </c>
      <c r="H31" s="74">
        <f t="shared" ref="H31:I31" si="56">C13/B13</f>
        <v>1.468181818</v>
      </c>
      <c r="I31" s="73">
        <f t="shared" si="56"/>
        <v>5074.133127</v>
      </c>
      <c r="J31" s="54"/>
      <c r="K31" s="70" t="str">
        <f t="shared" ref="K31:O31" si="57">K13</f>
        <v>2024Q1</v>
      </c>
      <c r="L31" s="71">
        <f t="shared" si="57"/>
        <v>381</v>
      </c>
      <c r="M31" s="71">
        <f t="shared" si="57"/>
        <v>625</v>
      </c>
      <c r="N31" s="71">
        <f t="shared" si="57"/>
        <v>3439535</v>
      </c>
      <c r="O31" s="71">
        <f t="shared" si="57"/>
        <v>1651705</v>
      </c>
      <c r="P31" s="72">
        <f t="shared" si="12"/>
        <v>0.06184061029</v>
      </c>
      <c r="Q31" s="73">
        <f t="shared" si="13"/>
        <v>9027.650919</v>
      </c>
      <c r="R31" s="74">
        <f t="shared" ref="R31:S31" si="58">M13/L13</f>
        <v>1.640419948</v>
      </c>
      <c r="S31" s="73">
        <f t="shared" si="58"/>
        <v>5503.256</v>
      </c>
      <c r="T31" s="54"/>
      <c r="U31" s="70" t="str">
        <f t="shared" ref="U31:Y31" si="59">U13</f>
        <v>2024Q1</v>
      </c>
      <c r="V31" s="71">
        <f t="shared" si="59"/>
        <v>387</v>
      </c>
      <c r="W31" s="71">
        <f t="shared" si="59"/>
        <v>562</v>
      </c>
      <c r="X31" s="71">
        <f t="shared" si="59"/>
        <v>3135275</v>
      </c>
      <c r="Y31" s="71">
        <f t="shared" si="59"/>
        <v>1509805</v>
      </c>
      <c r="Z31" s="72">
        <f t="shared" si="34"/>
        <v>0.06580513518</v>
      </c>
      <c r="AA31" s="73">
        <f t="shared" si="35"/>
        <v>8101.485788</v>
      </c>
      <c r="AB31" s="74">
        <f t="shared" ref="AB31:AC31" si="60">W13/V13</f>
        <v>1.452196382</v>
      </c>
      <c r="AC31" s="77">
        <f t="shared" si="60"/>
        <v>5578.781139</v>
      </c>
      <c r="AD31" s="54"/>
      <c r="AE31" s="54"/>
      <c r="AF31" s="54"/>
      <c r="AG31" s="54"/>
    </row>
    <row r="32" ht="14.25" customHeight="1">
      <c r="A32" s="70" t="str">
        <f t="shared" ref="A32:E32" si="61">A14</f>
        <v>2024Q2</v>
      </c>
      <c r="B32" s="71">
        <f t="shared" si="61"/>
        <v>224</v>
      </c>
      <c r="C32" s="71">
        <f t="shared" si="61"/>
        <v>338</v>
      </c>
      <c r="D32" s="71">
        <f t="shared" si="61"/>
        <v>1742675</v>
      </c>
      <c r="E32" s="71">
        <f t="shared" si="61"/>
        <v>828905</v>
      </c>
      <c r="F32" s="72">
        <f t="shared" si="4"/>
        <v>0.07881773399</v>
      </c>
      <c r="G32" s="73">
        <f t="shared" si="5"/>
        <v>7779.799107</v>
      </c>
      <c r="H32" s="74">
        <f t="shared" ref="H32:I32" si="62">C14/B14</f>
        <v>1.508928571</v>
      </c>
      <c r="I32" s="73">
        <f t="shared" si="62"/>
        <v>5155.843195</v>
      </c>
      <c r="J32" s="54"/>
      <c r="K32" s="70" t="str">
        <f t="shared" ref="K32:O32" si="63">K14</f>
        <v>2024Q2</v>
      </c>
      <c r="L32" s="71">
        <f t="shared" si="63"/>
        <v>384</v>
      </c>
      <c r="M32" s="71">
        <f t="shared" si="63"/>
        <v>654</v>
      </c>
      <c r="N32" s="71">
        <f t="shared" si="63"/>
        <v>3467475</v>
      </c>
      <c r="O32" s="71">
        <f t="shared" si="63"/>
        <v>1650495</v>
      </c>
      <c r="P32" s="72">
        <f t="shared" si="12"/>
        <v>0.06232754423</v>
      </c>
      <c r="Q32" s="73">
        <f t="shared" si="13"/>
        <v>9029.882813</v>
      </c>
      <c r="R32" s="74">
        <f t="shared" ref="R32:S32" si="64">M14/L14</f>
        <v>1.703125</v>
      </c>
      <c r="S32" s="73">
        <f t="shared" si="64"/>
        <v>5301.949541</v>
      </c>
      <c r="T32" s="54"/>
      <c r="U32" s="70" t="str">
        <f t="shared" ref="U32:Y32" si="65">U14</f>
        <v>2024Q2</v>
      </c>
      <c r="V32" s="71">
        <f t="shared" si="65"/>
        <v>343</v>
      </c>
      <c r="W32" s="71">
        <f t="shared" si="65"/>
        <v>522</v>
      </c>
      <c r="X32" s="71">
        <f t="shared" si="65"/>
        <v>2546775</v>
      </c>
      <c r="Y32" s="71">
        <f t="shared" si="65"/>
        <v>1241075</v>
      </c>
      <c r="Z32" s="72">
        <f t="shared" si="34"/>
        <v>0.05832341439</v>
      </c>
      <c r="AA32" s="73">
        <f t="shared" si="35"/>
        <v>7425</v>
      </c>
      <c r="AB32" s="74">
        <f t="shared" ref="AB32:AC32" si="66">W14/V14</f>
        <v>1.521865889</v>
      </c>
      <c r="AC32" s="77">
        <f t="shared" si="66"/>
        <v>4878.87931</v>
      </c>
      <c r="AD32" s="54"/>
      <c r="AE32" s="54"/>
      <c r="AF32" s="54"/>
      <c r="AG32" s="54"/>
    </row>
    <row r="33" ht="14.25" customHeight="1">
      <c r="A33" s="78" t="s">
        <v>36</v>
      </c>
      <c r="B33" s="71">
        <f t="shared" ref="B33:E33" si="67">B15</f>
        <v>230</v>
      </c>
      <c r="C33" s="71">
        <f t="shared" si="67"/>
        <v>349</v>
      </c>
      <c r="D33" s="71">
        <f t="shared" si="67"/>
        <v>1446720</v>
      </c>
      <c r="E33" s="71">
        <f t="shared" si="67"/>
        <v>692780</v>
      </c>
      <c r="F33" s="72">
        <f t="shared" si="4"/>
        <v>0.08092892329</v>
      </c>
      <c r="G33" s="73">
        <f t="shared" si="5"/>
        <v>6290.086957</v>
      </c>
      <c r="H33" s="74">
        <f t="shared" ref="H33:I33" si="68">C15/B15</f>
        <v>1.517391304</v>
      </c>
      <c r="I33" s="73">
        <f t="shared" si="68"/>
        <v>4145.329513</v>
      </c>
      <c r="J33" s="54"/>
      <c r="K33" s="70" t="str">
        <f t="shared" ref="K33:O33" si="69">K15</f>
        <v>2024Q3</v>
      </c>
      <c r="L33" s="71">
        <f t="shared" si="69"/>
        <v>351</v>
      </c>
      <c r="M33" s="71">
        <f t="shared" si="69"/>
        <v>561</v>
      </c>
      <c r="N33" s="71">
        <f t="shared" si="69"/>
        <v>2413840</v>
      </c>
      <c r="O33" s="71">
        <f t="shared" si="69"/>
        <v>1158025</v>
      </c>
      <c r="P33" s="72">
        <f t="shared" si="12"/>
        <v>0.0569712709</v>
      </c>
      <c r="Q33" s="73">
        <f t="shared" si="13"/>
        <v>6877.037037</v>
      </c>
      <c r="R33" s="74">
        <f t="shared" ref="R33:S33" si="70">M15/L15</f>
        <v>1.598290598</v>
      </c>
      <c r="S33" s="73">
        <f t="shared" si="70"/>
        <v>4302.745098</v>
      </c>
      <c r="T33" s="54"/>
      <c r="U33" s="70" t="str">
        <f t="shared" ref="U33:Y33" si="71">U15</f>
        <v>2024Q3</v>
      </c>
      <c r="V33" s="71">
        <f t="shared" si="71"/>
        <v>356</v>
      </c>
      <c r="W33" s="71">
        <f t="shared" si="71"/>
        <v>518</v>
      </c>
      <c r="X33" s="71">
        <f t="shared" si="71"/>
        <v>2251975</v>
      </c>
      <c r="Y33" s="71">
        <f t="shared" si="71"/>
        <v>1074480</v>
      </c>
      <c r="Z33" s="72">
        <f t="shared" si="34"/>
        <v>0.0605339228</v>
      </c>
      <c r="AA33" s="73">
        <f t="shared" si="35"/>
        <v>6325.772472</v>
      </c>
      <c r="AB33" s="74">
        <f t="shared" ref="AB33:AC33" si="72">W15/V15</f>
        <v>1.45505618</v>
      </c>
      <c r="AC33" s="77">
        <f t="shared" si="72"/>
        <v>4347.442085</v>
      </c>
      <c r="AD33" s="54"/>
      <c r="AE33" s="54"/>
      <c r="AF33" s="54"/>
      <c r="AG33" s="54"/>
    </row>
    <row r="34" ht="14.25" customHeight="1">
      <c r="A34" s="79" t="str">
        <f t="shared" ref="A34:E34" si="73">A16</f>
        <v>2024Q4</v>
      </c>
      <c r="B34" s="80">
        <f t="shared" si="73"/>
        <v>311</v>
      </c>
      <c r="C34" s="80">
        <f t="shared" si="73"/>
        <v>523</v>
      </c>
      <c r="D34" s="80">
        <f t="shared" si="73"/>
        <v>2693735</v>
      </c>
      <c r="E34" s="80">
        <f t="shared" si="73"/>
        <v>1293325</v>
      </c>
      <c r="F34" s="81">
        <f t="shared" si="4"/>
        <v>0.1094299789</v>
      </c>
      <c r="G34" s="82">
        <f t="shared" si="5"/>
        <v>8661.527331</v>
      </c>
      <c r="H34" s="83">
        <f t="shared" ref="H34:I34" si="74">C16/B16</f>
        <v>1.681672026</v>
      </c>
      <c r="I34" s="82">
        <f t="shared" si="74"/>
        <v>5150.544933</v>
      </c>
      <c r="J34" s="54"/>
      <c r="K34" s="79" t="str">
        <f t="shared" ref="K34:O34" si="75">K16</f>
        <v>2024Q4</v>
      </c>
      <c r="L34" s="80">
        <f t="shared" si="75"/>
        <v>743</v>
      </c>
      <c r="M34" s="80">
        <f t="shared" si="75"/>
        <v>1364</v>
      </c>
      <c r="N34" s="80">
        <f t="shared" si="75"/>
        <v>7542645</v>
      </c>
      <c r="O34" s="80">
        <f t="shared" si="75"/>
        <v>3669875</v>
      </c>
      <c r="P34" s="81">
        <f t="shared" si="12"/>
        <v>0.1205973056</v>
      </c>
      <c r="Q34" s="82">
        <f t="shared" si="13"/>
        <v>10151.60834</v>
      </c>
      <c r="R34" s="83">
        <f t="shared" ref="R34:S34" si="76">M16/L16</f>
        <v>1.835800808</v>
      </c>
      <c r="S34" s="82">
        <f t="shared" si="76"/>
        <v>5529.798387</v>
      </c>
      <c r="T34" s="54"/>
      <c r="U34" s="79" t="str">
        <f t="shared" ref="U34:Y34" si="77">U16</f>
        <v>2024Q4</v>
      </c>
      <c r="V34" s="80">
        <f t="shared" si="77"/>
        <v>778</v>
      </c>
      <c r="W34" s="80">
        <f t="shared" si="77"/>
        <v>1300</v>
      </c>
      <c r="X34" s="80">
        <f t="shared" si="77"/>
        <v>7285410</v>
      </c>
      <c r="Y34" s="80">
        <f t="shared" si="77"/>
        <v>3469510</v>
      </c>
      <c r="Z34" s="81">
        <f t="shared" si="34"/>
        <v>0.1322904268</v>
      </c>
      <c r="AA34" s="82">
        <f t="shared" si="35"/>
        <v>9364.280206</v>
      </c>
      <c r="AB34" s="83">
        <f t="shared" ref="AB34:AC34" si="78">W16/V16</f>
        <v>1.670951157</v>
      </c>
      <c r="AC34" s="84">
        <f t="shared" si="78"/>
        <v>5604.161538</v>
      </c>
      <c r="AD34" s="54"/>
      <c r="AE34" s="54"/>
      <c r="AF34" s="54"/>
      <c r="AG34" s="54"/>
    </row>
    <row r="35" ht="14.25" customHeight="1">
      <c r="A35" s="67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</row>
    <row r="36" ht="14.25" customHeight="1">
      <c r="A36" s="67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</row>
    <row r="37" ht="14.25" customHeight="1">
      <c r="A37" s="66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</row>
    <row r="38" ht="14.25" customHeight="1">
      <c r="A38" s="66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</row>
    <row r="39" ht="14.25" customHeight="1">
      <c r="A39" s="66" t="str">
        <f t="shared" ref="A39:A53" si="79">A20</f>
        <v>Quarter</v>
      </c>
      <c r="B39" s="76" t="s">
        <v>33</v>
      </c>
      <c r="C39" s="76" t="s">
        <v>34</v>
      </c>
      <c r="D39" s="76" t="s">
        <v>35</v>
      </c>
      <c r="E39" s="76" t="s">
        <v>33</v>
      </c>
      <c r="F39" s="76" t="s">
        <v>34</v>
      </c>
      <c r="G39" s="76" t="s">
        <v>35</v>
      </c>
      <c r="H39" s="76" t="s">
        <v>33</v>
      </c>
      <c r="I39" s="76" t="s">
        <v>34</v>
      </c>
      <c r="J39" s="76" t="s">
        <v>35</v>
      </c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</row>
    <row r="40" ht="14.25" customHeight="1">
      <c r="A40" s="66" t="str">
        <f t="shared" si="79"/>
        <v>2021Q3</v>
      </c>
      <c r="B40" s="72">
        <f t="shared" ref="B40:B53" si="80">F21</f>
        <v>1</v>
      </c>
      <c r="C40" s="72"/>
      <c r="D40" s="72"/>
      <c r="E40" s="73">
        <f t="shared" ref="E40:E53" si="81">G21</f>
        <v>6638.298733</v>
      </c>
      <c r="F40" s="73"/>
      <c r="G40" s="73"/>
      <c r="H40" s="73">
        <f t="shared" ref="H40:H53" si="82">I21</f>
        <v>5250.777901</v>
      </c>
      <c r="I40" s="73"/>
      <c r="J40" s="73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</row>
    <row r="41" ht="14.25" customHeight="1">
      <c r="A41" s="66" t="str">
        <f t="shared" si="79"/>
        <v>2021Q4</v>
      </c>
      <c r="B41" s="72">
        <f t="shared" si="80"/>
        <v>0.1861365236</v>
      </c>
      <c r="C41" s="72">
        <f t="shared" ref="C41:C53" si="83">P22</f>
        <v>1</v>
      </c>
      <c r="D41" s="72"/>
      <c r="E41" s="73">
        <f t="shared" si="81"/>
        <v>8274.120983</v>
      </c>
      <c r="F41" s="73">
        <f t="shared" ref="F41:F53" si="84">Q22</f>
        <v>8248.009252</v>
      </c>
      <c r="G41" s="73"/>
      <c r="H41" s="73">
        <f t="shared" si="82"/>
        <v>5350.867971</v>
      </c>
      <c r="I41" s="73">
        <f t="shared" ref="I41:I53" si="85">S22</f>
        <v>6367.91792</v>
      </c>
      <c r="J41" s="73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</row>
    <row r="42" ht="14.25" customHeight="1">
      <c r="A42" s="66" t="str">
        <f t="shared" si="79"/>
        <v>2022Q1</v>
      </c>
      <c r="B42" s="72">
        <f t="shared" si="80"/>
        <v>0.08339197748</v>
      </c>
      <c r="C42" s="72">
        <f t="shared" si="83"/>
        <v>0.1004707028</v>
      </c>
      <c r="D42" s="72"/>
      <c r="E42" s="73">
        <f t="shared" si="81"/>
        <v>8054.599156</v>
      </c>
      <c r="F42" s="73">
        <f t="shared" si="84"/>
        <v>8717.988691</v>
      </c>
      <c r="G42" s="73"/>
      <c r="H42" s="73">
        <f t="shared" si="82"/>
        <v>5873.661538</v>
      </c>
      <c r="I42" s="73">
        <f t="shared" si="85"/>
        <v>5747.00213</v>
      </c>
      <c r="J42" s="73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</row>
    <row r="43" ht="14.25" customHeight="1">
      <c r="A43" s="66" t="str">
        <f t="shared" si="79"/>
        <v>2022Q2</v>
      </c>
      <c r="B43" s="72">
        <f t="shared" si="80"/>
        <v>0.1118930331</v>
      </c>
      <c r="C43" s="72">
        <f t="shared" si="83"/>
        <v>0.08862197695</v>
      </c>
      <c r="D43" s="72"/>
      <c r="E43" s="73">
        <f t="shared" si="81"/>
        <v>7412.893082</v>
      </c>
      <c r="F43" s="73">
        <f t="shared" si="84"/>
        <v>7352.57326</v>
      </c>
      <c r="G43" s="73"/>
      <c r="H43" s="73">
        <f t="shared" si="82"/>
        <v>5047.751606</v>
      </c>
      <c r="I43" s="73">
        <f t="shared" si="85"/>
        <v>4695.327485</v>
      </c>
      <c r="J43" s="73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</row>
    <row r="44" ht="14.25" customHeight="1">
      <c r="A44" s="66" t="str">
        <f t="shared" si="79"/>
        <v>2022Q3</v>
      </c>
      <c r="B44" s="72">
        <f t="shared" si="80"/>
        <v>0.1115411682</v>
      </c>
      <c r="C44" s="72">
        <f t="shared" si="83"/>
        <v>0.07320240221</v>
      </c>
      <c r="D44" s="72"/>
      <c r="E44" s="73">
        <f t="shared" si="81"/>
        <v>6982.744479</v>
      </c>
      <c r="F44" s="73">
        <f t="shared" si="84"/>
        <v>7795.853659</v>
      </c>
      <c r="G44" s="73"/>
      <c r="H44" s="73">
        <f t="shared" si="82"/>
        <v>4729.764957</v>
      </c>
      <c r="I44" s="73">
        <f t="shared" si="85"/>
        <v>5051.623563</v>
      </c>
      <c r="J44" s="73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</row>
    <row r="45" ht="14.25" customHeight="1">
      <c r="A45" s="66" t="str">
        <f t="shared" si="79"/>
        <v>2022Q4</v>
      </c>
      <c r="B45" s="72">
        <f t="shared" si="80"/>
        <v>0.1287825475</v>
      </c>
      <c r="C45" s="72">
        <f t="shared" si="83"/>
        <v>0.152410323</v>
      </c>
      <c r="D45" s="72">
        <f t="shared" ref="D45:D53" si="86">Z26</f>
        <v>1</v>
      </c>
      <c r="E45" s="73">
        <f t="shared" si="81"/>
        <v>8245.040984</v>
      </c>
      <c r="F45" s="73">
        <f t="shared" si="84"/>
        <v>9322.880724</v>
      </c>
      <c r="G45" s="73">
        <f t="shared" ref="G45:G53" si="87">AA26</f>
        <v>7837.083829</v>
      </c>
      <c r="H45" s="73">
        <f t="shared" si="82"/>
        <v>4906.804878</v>
      </c>
      <c r="I45" s="73">
        <f t="shared" si="85"/>
        <v>5544.132362</v>
      </c>
      <c r="J45" s="73">
        <f t="shared" ref="J45:J53" si="88">AC26</f>
        <v>6024.034767</v>
      </c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</row>
    <row r="46" ht="14.25" customHeight="1">
      <c r="A46" s="66" t="str">
        <f t="shared" si="79"/>
        <v>2023Q1</v>
      </c>
      <c r="B46" s="72">
        <f t="shared" si="80"/>
        <v>0.08233638283</v>
      </c>
      <c r="C46" s="72">
        <f t="shared" si="83"/>
        <v>0.06784612888</v>
      </c>
      <c r="D46" s="72">
        <f t="shared" si="86"/>
        <v>0.1173269852</v>
      </c>
      <c r="E46" s="73">
        <f t="shared" si="81"/>
        <v>6732.32906</v>
      </c>
      <c r="F46" s="73">
        <f t="shared" si="84"/>
        <v>8205.789474</v>
      </c>
      <c r="G46" s="73">
        <f t="shared" si="87"/>
        <v>8017.166667</v>
      </c>
      <c r="H46" s="73">
        <f t="shared" si="82"/>
        <v>4647.094395</v>
      </c>
      <c r="I46" s="73">
        <f t="shared" si="85"/>
        <v>4992.751092</v>
      </c>
      <c r="J46" s="73">
        <f t="shared" si="88"/>
        <v>5471.656775</v>
      </c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</row>
    <row r="47" ht="14.25" customHeight="1">
      <c r="A47" s="66" t="str">
        <f t="shared" si="79"/>
        <v>2023Q2</v>
      </c>
      <c r="B47" s="72">
        <f t="shared" si="80"/>
        <v>0.08937368051</v>
      </c>
      <c r="C47" s="72">
        <f t="shared" si="83"/>
        <v>0.07174160039</v>
      </c>
      <c r="D47" s="72">
        <f t="shared" si="86"/>
        <v>0.08042849855</v>
      </c>
      <c r="E47" s="73">
        <f t="shared" si="81"/>
        <v>7105.393701</v>
      </c>
      <c r="F47" s="73">
        <f t="shared" si="84"/>
        <v>7636.78733</v>
      </c>
      <c r="G47" s="73">
        <f t="shared" si="87"/>
        <v>7550.465116</v>
      </c>
      <c r="H47" s="73">
        <f t="shared" si="82"/>
        <v>4423.455882</v>
      </c>
      <c r="I47" s="73">
        <f t="shared" si="85"/>
        <v>4573.794038</v>
      </c>
      <c r="J47" s="73">
        <f t="shared" si="88"/>
        <v>5290.918519</v>
      </c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</row>
    <row r="48" ht="14.25" customHeight="1">
      <c r="A48" s="66" t="str">
        <f t="shared" si="79"/>
        <v>2023Q3</v>
      </c>
      <c r="B48" s="72">
        <f t="shared" si="80"/>
        <v>0.09465165376</v>
      </c>
      <c r="C48" s="72">
        <f t="shared" si="83"/>
        <v>0.06979386463</v>
      </c>
      <c r="D48" s="72">
        <f t="shared" si="86"/>
        <v>0.07141642578</v>
      </c>
      <c r="E48" s="73">
        <f t="shared" si="81"/>
        <v>5883.773234</v>
      </c>
      <c r="F48" s="73">
        <f t="shared" si="84"/>
        <v>8084.616279</v>
      </c>
      <c r="G48" s="73">
        <f t="shared" si="87"/>
        <v>6757.142857</v>
      </c>
      <c r="H48" s="73">
        <f t="shared" si="82"/>
        <v>4111</v>
      </c>
      <c r="I48" s="73">
        <f t="shared" si="85"/>
        <v>4755.656635</v>
      </c>
      <c r="J48" s="73">
        <f t="shared" si="88"/>
        <v>4722.129784</v>
      </c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</row>
    <row r="49" ht="14.25" customHeight="1">
      <c r="A49" s="66" t="str">
        <f t="shared" si="79"/>
        <v>2023Q4</v>
      </c>
      <c r="B49" s="72">
        <f t="shared" si="80"/>
        <v>0.1259676284</v>
      </c>
      <c r="C49" s="72">
        <f t="shared" si="83"/>
        <v>0.1436455121</v>
      </c>
      <c r="D49" s="72">
        <f t="shared" si="86"/>
        <v>0.1698690699</v>
      </c>
      <c r="E49" s="73">
        <f t="shared" si="81"/>
        <v>9000.181564</v>
      </c>
      <c r="F49" s="73">
        <f t="shared" si="84"/>
        <v>9616.485876</v>
      </c>
      <c r="G49" s="73">
        <f t="shared" si="87"/>
        <v>8936.096096</v>
      </c>
      <c r="H49" s="73">
        <f t="shared" si="82"/>
        <v>5155.304</v>
      </c>
      <c r="I49" s="73">
        <f t="shared" si="85"/>
        <v>5519.189364</v>
      </c>
      <c r="J49" s="73">
        <f t="shared" si="88"/>
        <v>5377.807229</v>
      </c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</row>
    <row r="50" ht="14.25" customHeight="1">
      <c r="A50" s="66" t="str">
        <f t="shared" si="79"/>
        <v>2024Q1</v>
      </c>
      <c r="B50" s="72">
        <f t="shared" si="80"/>
        <v>0.07741027445</v>
      </c>
      <c r="C50" s="72">
        <f t="shared" si="83"/>
        <v>0.06184061029</v>
      </c>
      <c r="D50" s="72">
        <f t="shared" si="86"/>
        <v>0.06580513518</v>
      </c>
      <c r="E50" s="73">
        <f t="shared" si="81"/>
        <v>7449.75</v>
      </c>
      <c r="F50" s="73">
        <f t="shared" si="84"/>
        <v>9027.650919</v>
      </c>
      <c r="G50" s="73">
        <f t="shared" si="87"/>
        <v>8101.485788</v>
      </c>
      <c r="H50" s="73">
        <f t="shared" si="82"/>
        <v>5074.133127</v>
      </c>
      <c r="I50" s="73">
        <f t="shared" si="85"/>
        <v>5503.256</v>
      </c>
      <c r="J50" s="73">
        <f t="shared" si="88"/>
        <v>5578.781139</v>
      </c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</row>
    <row r="51" ht="14.25" customHeight="1">
      <c r="A51" s="66" t="str">
        <f t="shared" si="79"/>
        <v>2024Q2</v>
      </c>
      <c r="B51" s="72">
        <f t="shared" si="80"/>
        <v>0.07881773399</v>
      </c>
      <c r="C51" s="72">
        <f t="shared" si="83"/>
        <v>0.06232754423</v>
      </c>
      <c r="D51" s="72">
        <f t="shared" si="86"/>
        <v>0.05832341439</v>
      </c>
      <c r="E51" s="73">
        <f t="shared" si="81"/>
        <v>7779.799107</v>
      </c>
      <c r="F51" s="73">
        <f t="shared" si="84"/>
        <v>9029.882813</v>
      </c>
      <c r="G51" s="73">
        <f t="shared" si="87"/>
        <v>7425</v>
      </c>
      <c r="H51" s="73">
        <f t="shared" si="82"/>
        <v>5155.843195</v>
      </c>
      <c r="I51" s="73">
        <f t="shared" si="85"/>
        <v>5301.949541</v>
      </c>
      <c r="J51" s="73">
        <f t="shared" si="88"/>
        <v>4878.87931</v>
      </c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</row>
    <row r="52" ht="14.25" customHeight="1">
      <c r="A52" s="85" t="str">
        <f t="shared" si="79"/>
        <v>https://docs.google.com/spreadsheets/d/16x8zlfdKSDrt8KCRVrkRtkOdrEvM_DMxIaDW7Ubr9Vc/edit?gid=353029270#gid=353029270</v>
      </c>
      <c r="B52" s="72">
        <f t="shared" si="80"/>
        <v>0.08092892329</v>
      </c>
      <c r="C52" s="72">
        <f t="shared" si="83"/>
        <v>0.0569712709</v>
      </c>
      <c r="D52" s="72">
        <f t="shared" si="86"/>
        <v>0.0605339228</v>
      </c>
      <c r="E52" s="73">
        <f t="shared" si="81"/>
        <v>6290.086957</v>
      </c>
      <c r="F52" s="73">
        <f t="shared" si="84"/>
        <v>6877.037037</v>
      </c>
      <c r="G52" s="73">
        <f t="shared" si="87"/>
        <v>6325.772472</v>
      </c>
      <c r="H52" s="73">
        <f t="shared" si="82"/>
        <v>4145.329513</v>
      </c>
      <c r="I52" s="73">
        <f t="shared" si="85"/>
        <v>4302.745098</v>
      </c>
      <c r="J52" s="73">
        <f t="shared" si="88"/>
        <v>4347.442085</v>
      </c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</row>
    <row r="53" ht="14.25" customHeight="1">
      <c r="A53" s="66" t="str">
        <f t="shared" si="79"/>
        <v>2024Q4</v>
      </c>
      <c r="B53" s="72">
        <f t="shared" si="80"/>
        <v>0.1094299789</v>
      </c>
      <c r="C53" s="72">
        <f t="shared" si="83"/>
        <v>0.1205973056</v>
      </c>
      <c r="D53" s="72">
        <f t="shared" si="86"/>
        <v>0.1322904268</v>
      </c>
      <c r="E53" s="73">
        <f t="shared" si="81"/>
        <v>8661.527331</v>
      </c>
      <c r="F53" s="73">
        <f t="shared" si="84"/>
        <v>10151.60834</v>
      </c>
      <c r="G53" s="73">
        <f t="shared" si="87"/>
        <v>9364.280206</v>
      </c>
      <c r="H53" s="73">
        <f t="shared" si="82"/>
        <v>5150.544933</v>
      </c>
      <c r="I53" s="73">
        <f t="shared" si="85"/>
        <v>5529.798387</v>
      </c>
      <c r="J53" s="73">
        <f t="shared" si="88"/>
        <v>5604.161538</v>
      </c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</row>
    <row r="54" ht="14.25" customHeight="1">
      <c r="A54" s="66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</row>
    <row r="55" ht="14.25" customHeight="1">
      <c r="A55" s="66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</row>
    <row r="56" ht="14.25" customHeight="1">
      <c r="A56" s="66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</row>
    <row r="57" ht="14.25" customHeight="1">
      <c r="A57" s="66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</row>
    <row r="58" ht="14.25" customHeight="1">
      <c r="A58" s="66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</row>
    <row r="59" ht="14.25" customHeight="1">
      <c r="A59" s="66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</row>
    <row r="60" ht="14.25" customHeight="1">
      <c r="A60" s="66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</row>
    <row r="61" ht="14.25" customHeight="1">
      <c r="A61" s="66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</row>
    <row r="62" ht="14.25" customHeight="1">
      <c r="A62" s="66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</row>
    <row r="63" ht="14.25" customHeight="1">
      <c r="A63" s="66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</row>
    <row r="64" ht="14.25" customHeight="1">
      <c r="A64" s="66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</row>
    <row r="65" ht="14.25" customHeight="1">
      <c r="A65" s="66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</row>
    <row r="66" ht="14.25" customHeight="1">
      <c r="A66" s="66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</row>
    <row r="67" ht="14.25" customHeight="1">
      <c r="A67" s="66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</row>
    <row r="68" ht="14.25" customHeight="1">
      <c r="A68" s="66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</row>
    <row r="69" ht="14.25" customHeight="1">
      <c r="A69" s="66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</row>
    <row r="70" ht="14.25" customHeight="1">
      <c r="A70" s="66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</row>
    <row r="71" ht="14.25" customHeight="1">
      <c r="A71" s="66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</row>
    <row r="72" ht="14.25" customHeight="1">
      <c r="A72" s="66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</row>
    <row r="73" ht="14.25" customHeight="1">
      <c r="A73" s="66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</row>
    <row r="74" ht="14.25" customHeight="1">
      <c r="A74" s="66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</row>
    <row r="75" ht="14.25" customHeight="1">
      <c r="A75" s="66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</row>
    <row r="76" ht="14.25" customHeight="1">
      <c r="A76" s="66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</row>
    <row r="77" ht="14.25" customHeight="1">
      <c r="A77" s="66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</row>
    <row r="78" ht="14.25" customHeight="1">
      <c r="A78" s="66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</row>
    <row r="79" ht="14.25" customHeight="1">
      <c r="A79" s="66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</row>
    <row r="80" ht="14.25" customHeight="1">
      <c r="A80" s="66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</row>
    <row r="81" ht="14.25" customHeight="1">
      <c r="A81" s="66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</row>
    <row r="82" ht="14.25" customHeight="1">
      <c r="A82" s="66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</row>
    <row r="83" ht="14.25" customHeight="1">
      <c r="A83" s="66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</row>
    <row r="84" ht="14.25" customHeight="1">
      <c r="A84" s="66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</row>
    <row r="85" ht="14.25" customHeight="1">
      <c r="A85" s="66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</row>
    <row r="86" ht="14.25" customHeight="1">
      <c r="A86" s="66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</row>
    <row r="87" ht="14.25" customHeight="1">
      <c r="A87" s="66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</row>
    <row r="88" ht="14.25" customHeight="1">
      <c r="A88" s="66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</row>
    <row r="89" ht="14.25" customHeight="1">
      <c r="A89" s="66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</row>
    <row r="90" ht="14.25" customHeight="1">
      <c r="A90" s="66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</row>
    <row r="91" ht="14.25" customHeight="1">
      <c r="A91" s="66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</row>
    <row r="92" ht="14.25" customHeight="1">
      <c r="A92" s="66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</row>
    <row r="93" ht="14.25" customHeight="1">
      <c r="A93" s="66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</row>
    <row r="94" ht="14.25" customHeight="1">
      <c r="A94" s="66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</row>
    <row r="95" ht="14.25" customHeight="1">
      <c r="A95" s="66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</row>
    <row r="96" ht="14.25" customHeight="1">
      <c r="A96" s="66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</row>
    <row r="97" ht="14.25" customHeight="1">
      <c r="A97" s="66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</row>
    <row r="98" ht="14.25" customHeight="1">
      <c r="A98" s="66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</row>
    <row r="99" ht="14.25" customHeight="1">
      <c r="A99" s="66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</row>
    <row r="100" ht="14.25" customHeight="1">
      <c r="A100" s="66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</row>
    <row r="101" ht="14.25" customHeight="1">
      <c r="A101" s="66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</row>
    <row r="102" ht="14.25" customHeight="1">
      <c r="A102" s="66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</row>
    <row r="103" ht="14.25" customHeight="1">
      <c r="A103" s="66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</row>
    <row r="104" ht="14.25" customHeight="1">
      <c r="A104" s="66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</row>
    <row r="105" ht="14.25" customHeight="1">
      <c r="A105" s="66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</row>
    <row r="106" ht="14.25" customHeight="1">
      <c r="A106" s="66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</row>
    <row r="107" ht="14.25" customHeight="1">
      <c r="A107" s="66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</row>
    <row r="108" ht="14.25" customHeight="1">
      <c r="A108" s="66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</row>
    <row r="109" ht="14.25" customHeight="1">
      <c r="A109" s="66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</row>
    <row r="110" ht="14.25" customHeight="1">
      <c r="A110" s="66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</row>
    <row r="111" ht="14.25" customHeight="1">
      <c r="A111" s="66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</row>
    <row r="112" ht="14.25" customHeight="1">
      <c r="A112" s="66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</row>
    <row r="113" ht="14.25" customHeight="1">
      <c r="A113" s="66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</row>
    <row r="114" ht="14.25" customHeight="1">
      <c r="A114" s="66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</row>
    <row r="115" ht="14.25" customHeight="1">
      <c r="A115" s="66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  <c r="AG115" s="54"/>
    </row>
    <row r="116" ht="14.25" customHeight="1">
      <c r="A116" s="66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</row>
    <row r="117" ht="14.25" customHeight="1">
      <c r="A117" s="66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  <c r="AG117" s="54"/>
    </row>
    <row r="118" ht="14.25" customHeight="1">
      <c r="A118" s="66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</row>
    <row r="119" ht="14.25" customHeight="1">
      <c r="A119" s="66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  <c r="AE119" s="54"/>
      <c r="AF119" s="54"/>
      <c r="AG119" s="54"/>
    </row>
    <row r="120" ht="14.25" customHeight="1">
      <c r="A120" s="66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</row>
    <row r="121" ht="14.25" customHeight="1">
      <c r="A121" s="66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</row>
    <row r="122" ht="14.25" customHeight="1">
      <c r="A122" s="66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</row>
    <row r="123" ht="14.25" customHeight="1">
      <c r="A123" s="66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</row>
    <row r="124" ht="14.25" customHeight="1">
      <c r="A124" s="66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</row>
    <row r="125" ht="14.25" customHeight="1">
      <c r="A125" s="66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</row>
    <row r="126" ht="14.25" customHeight="1">
      <c r="A126" s="66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</row>
    <row r="127" ht="14.25" customHeight="1">
      <c r="A127" s="66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</row>
    <row r="128" ht="14.25" customHeight="1">
      <c r="A128" s="66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</row>
    <row r="129" ht="14.25" customHeight="1">
      <c r="A129" s="66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</row>
    <row r="130" ht="14.25" customHeight="1">
      <c r="A130" s="66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</row>
    <row r="131" ht="14.25" customHeight="1">
      <c r="A131" s="66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</row>
    <row r="132" ht="14.25" customHeight="1">
      <c r="A132" s="66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</row>
    <row r="133" ht="14.25" customHeight="1">
      <c r="A133" s="66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</row>
    <row r="134" ht="14.25" customHeight="1">
      <c r="A134" s="66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</row>
    <row r="135" ht="14.25" customHeight="1">
      <c r="A135" s="66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  <c r="AG135" s="54"/>
    </row>
    <row r="136" ht="14.25" customHeight="1">
      <c r="A136" s="66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  <c r="AG136" s="54"/>
    </row>
    <row r="137" ht="14.25" customHeight="1">
      <c r="A137" s="66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54"/>
    </row>
    <row r="138" ht="14.25" customHeight="1">
      <c r="A138" s="66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</row>
    <row r="139" ht="14.25" customHeight="1">
      <c r="A139" s="66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  <c r="AG139" s="54"/>
    </row>
    <row r="140" ht="14.25" customHeight="1">
      <c r="A140" s="66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</row>
    <row r="141" ht="14.25" customHeight="1">
      <c r="A141" s="66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</row>
    <row r="142" ht="14.25" customHeight="1">
      <c r="A142" s="66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</row>
    <row r="143" ht="14.25" customHeight="1">
      <c r="A143" s="66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  <c r="AC143" s="54"/>
      <c r="AD143" s="54"/>
      <c r="AE143" s="54"/>
      <c r="AF143" s="54"/>
      <c r="AG143" s="54"/>
    </row>
    <row r="144" ht="14.25" customHeight="1">
      <c r="A144" s="66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</row>
    <row r="145" ht="14.25" customHeight="1">
      <c r="A145" s="66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</row>
    <row r="146" ht="14.25" customHeight="1">
      <c r="A146" s="66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</row>
    <row r="147" ht="14.25" customHeight="1">
      <c r="A147" s="66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  <c r="AC147" s="54"/>
      <c r="AD147" s="54"/>
      <c r="AE147" s="54"/>
      <c r="AF147" s="54"/>
      <c r="AG147" s="54"/>
    </row>
    <row r="148" ht="14.25" customHeight="1">
      <c r="A148" s="66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  <c r="AG148" s="54"/>
    </row>
    <row r="149" ht="14.25" customHeight="1">
      <c r="A149" s="66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  <c r="AG149" s="54"/>
    </row>
    <row r="150" ht="14.25" customHeight="1">
      <c r="A150" s="66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  <c r="AG150" s="54"/>
    </row>
    <row r="151" ht="14.25" customHeight="1">
      <c r="A151" s="66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  <c r="AC151" s="54"/>
      <c r="AD151" s="54"/>
      <c r="AE151" s="54"/>
      <c r="AF151" s="54"/>
      <c r="AG151" s="54"/>
    </row>
    <row r="152" ht="14.25" customHeight="1">
      <c r="A152" s="66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</row>
    <row r="153" ht="14.25" customHeight="1">
      <c r="A153" s="66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  <c r="AG153" s="54"/>
    </row>
    <row r="154" ht="14.25" customHeight="1">
      <c r="A154" s="66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  <c r="AG154" s="54"/>
    </row>
    <row r="155" ht="14.25" customHeight="1">
      <c r="A155" s="66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</row>
    <row r="156" ht="14.25" customHeight="1">
      <c r="A156" s="66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  <c r="AG156" s="54"/>
    </row>
    <row r="157" ht="14.25" customHeight="1">
      <c r="A157" s="66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</row>
    <row r="158" ht="14.25" customHeight="1">
      <c r="A158" s="66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</row>
    <row r="159" ht="14.25" customHeight="1">
      <c r="A159" s="66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</row>
    <row r="160" ht="14.25" customHeight="1">
      <c r="A160" s="66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  <c r="AE160" s="54"/>
      <c r="AF160" s="54"/>
      <c r="AG160" s="54"/>
    </row>
    <row r="161" ht="14.25" customHeight="1">
      <c r="A161" s="66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</row>
    <row r="162" ht="14.25" customHeight="1">
      <c r="A162" s="66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</row>
    <row r="163" ht="14.25" customHeight="1">
      <c r="A163" s="66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</row>
    <row r="164" ht="14.25" customHeight="1">
      <c r="A164" s="66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</row>
    <row r="165" ht="14.25" customHeight="1">
      <c r="A165" s="66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</row>
    <row r="166" ht="14.25" customHeight="1">
      <c r="A166" s="66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</row>
    <row r="167" ht="14.25" customHeight="1">
      <c r="A167" s="66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</row>
    <row r="168" ht="14.25" customHeight="1">
      <c r="A168" s="66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</row>
    <row r="169" ht="14.25" customHeight="1">
      <c r="A169" s="66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</row>
    <row r="170" ht="14.25" customHeight="1">
      <c r="A170" s="66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</row>
    <row r="171" ht="14.25" customHeight="1">
      <c r="A171" s="66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</row>
    <row r="172" ht="14.25" customHeight="1">
      <c r="A172" s="66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  <c r="AG172" s="54"/>
    </row>
    <row r="173" ht="14.25" customHeight="1">
      <c r="A173" s="66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</row>
    <row r="174" ht="14.25" customHeight="1">
      <c r="A174" s="66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</row>
    <row r="175" ht="14.25" customHeight="1">
      <c r="A175" s="66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  <c r="AG175" s="54"/>
    </row>
    <row r="176" ht="14.25" customHeight="1">
      <c r="A176" s="66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</row>
    <row r="177" ht="14.25" customHeight="1">
      <c r="A177" s="66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</row>
    <row r="178" ht="14.25" customHeight="1">
      <c r="A178" s="66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  <c r="AG178" s="54"/>
    </row>
    <row r="179" ht="14.25" customHeight="1">
      <c r="A179" s="66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  <c r="AE179" s="54"/>
      <c r="AF179" s="54"/>
      <c r="AG179" s="54"/>
    </row>
    <row r="180" ht="14.25" customHeight="1">
      <c r="A180" s="66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  <c r="AF180" s="54"/>
      <c r="AG180" s="54"/>
    </row>
    <row r="181" ht="14.25" customHeight="1">
      <c r="A181" s="66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  <c r="AG181" s="54"/>
    </row>
    <row r="182" ht="14.25" customHeight="1">
      <c r="A182" s="66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54"/>
    </row>
    <row r="183" ht="14.25" customHeight="1">
      <c r="A183" s="66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54"/>
    </row>
    <row r="184" ht="14.25" customHeight="1">
      <c r="A184" s="66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  <c r="AC184" s="54"/>
      <c r="AD184" s="54"/>
      <c r="AE184" s="54"/>
      <c r="AF184" s="54"/>
      <c r="AG184" s="54"/>
    </row>
    <row r="185" ht="14.25" customHeight="1">
      <c r="A185" s="66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54"/>
      <c r="AG185" s="54"/>
    </row>
    <row r="186" ht="14.25" customHeight="1">
      <c r="A186" s="66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54"/>
    </row>
    <row r="187" ht="14.25" customHeight="1">
      <c r="A187" s="66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54"/>
    </row>
    <row r="188" ht="14.25" customHeight="1">
      <c r="A188" s="66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  <c r="AG188" s="54"/>
    </row>
    <row r="189" ht="14.25" customHeight="1">
      <c r="A189" s="66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  <c r="AE189" s="54"/>
      <c r="AF189" s="54"/>
      <c r="AG189" s="54"/>
    </row>
    <row r="190" ht="14.25" customHeight="1">
      <c r="A190" s="66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  <c r="AC190" s="54"/>
      <c r="AD190" s="54"/>
      <c r="AE190" s="54"/>
      <c r="AF190" s="54"/>
      <c r="AG190" s="54"/>
    </row>
    <row r="191" ht="14.25" customHeight="1">
      <c r="A191" s="66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  <c r="AB191" s="54"/>
      <c r="AC191" s="54"/>
      <c r="AD191" s="54"/>
      <c r="AE191" s="54"/>
      <c r="AF191" s="54"/>
      <c r="AG191" s="54"/>
    </row>
    <row r="192" ht="14.25" customHeight="1">
      <c r="A192" s="66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  <c r="AE192" s="54"/>
      <c r="AF192" s="54"/>
      <c r="AG192" s="54"/>
    </row>
    <row r="193" ht="14.25" customHeight="1">
      <c r="A193" s="66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  <c r="AE193" s="54"/>
      <c r="AF193" s="54"/>
      <c r="AG193" s="54"/>
    </row>
    <row r="194" ht="14.25" customHeight="1">
      <c r="A194" s="66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  <c r="AF194" s="54"/>
      <c r="AG194" s="54"/>
    </row>
    <row r="195" ht="14.25" customHeight="1">
      <c r="A195" s="66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  <c r="AC195" s="54"/>
      <c r="AD195" s="54"/>
      <c r="AE195" s="54"/>
      <c r="AF195" s="54"/>
      <c r="AG195" s="54"/>
    </row>
    <row r="196" ht="14.25" customHeight="1">
      <c r="A196" s="66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  <c r="AG196" s="54"/>
    </row>
    <row r="197" ht="14.25" customHeight="1">
      <c r="A197" s="66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</row>
    <row r="198" ht="14.25" customHeight="1">
      <c r="A198" s="66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  <c r="AC198" s="54"/>
      <c r="AD198" s="54"/>
      <c r="AE198" s="54"/>
      <c r="AF198" s="54"/>
      <c r="AG198" s="54"/>
    </row>
    <row r="199" ht="14.25" customHeight="1">
      <c r="A199" s="66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  <c r="AF199" s="54"/>
      <c r="AG199" s="54"/>
    </row>
    <row r="200" ht="14.25" customHeight="1">
      <c r="A200" s="66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</row>
    <row r="201" ht="14.25" customHeight="1">
      <c r="A201" s="66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</row>
    <row r="202" ht="14.25" customHeight="1">
      <c r="A202" s="66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  <c r="AG202" s="54"/>
    </row>
    <row r="203" ht="14.25" customHeight="1">
      <c r="A203" s="66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</row>
    <row r="204" ht="14.25" customHeight="1">
      <c r="A204" s="66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  <c r="AG204" s="54"/>
    </row>
    <row r="205" ht="14.25" customHeight="1">
      <c r="A205" s="66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  <c r="AG205" s="54"/>
    </row>
    <row r="206" ht="14.25" customHeight="1">
      <c r="A206" s="66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  <c r="AG206" s="54"/>
    </row>
    <row r="207" ht="14.25" customHeight="1">
      <c r="A207" s="66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</row>
    <row r="208" ht="14.25" customHeight="1">
      <c r="A208" s="66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</row>
    <row r="209" ht="14.25" customHeight="1">
      <c r="A209" s="66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</row>
    <row r="210" ht="14.25" customHeight="1">
      <c r="A210" s="66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  <c r="AC210" s="54"/>
      <c r="AD210" s="54"/>
      <c r="AE210" s="54"/>
      <c r="AF210" s="54"/>
      <c r="AG210" s="54"/>
    </row>
    <row r="211" ht="14.25" customHeight="1">
      <c r="A211" s="66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  <c r="AC211" s="54"/>
      <c r="AD211" s="54"/>
      <c r="AE211" s="54"/>
      <c r="AF211" s="54"/>
      <c r="AG211" s="54"/>
    </row>
    <row r="212" ht="14.25" customHeight="1">
      <c r="A212" s="66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  <c r="AC212" s="54"/>
      <c r="AD212" s="54"/>
      <c r="AE212" s="54"/>
      <c r="AF212" s="54"/>
      <c r="AG212" s="54"/>
    </row>
    <row r="213" ht="14.25" customHeight="1">
      <c r="A213" s="66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  <c r="AC213" s="54"/>
      <c r="AD213" s="54"/>
      <c r="AE213" s="54"/>
      <c r="AF213" s="54"/>
      <c r="AG213" s="54"/>
    </row>
    <row r="214" ht="14.25" customHeight="1">
      <c r="A214" s="66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  <c r="AE214" s="54"/>
      <c r="AF214" s="54"/>
      <c r="AG214" s="54"/>
    </row>
    <row r="215" ht="14.25" customHeight="1">
      <c r="A215" s="66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  <c r="AE215" s="54"/>
      <c r="AF215" s="54"/>
      <c r="AG215" s="54"/>
    </row>
    <row r="216" ht="14.25" customHeight="1">
      <c r="A216" s="66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  <c r="AE216" s="54"/>
      <c r="AF216" s="54"/>
      <c r="AG216" s="54"/>
    </row>
    <row r="217" ht="14.25" customHeight="1">
      <c r="A217" s="66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  <c r="AE217" s="54"/>
      <c r="AF217" s="54"/>
      <c r="AG217" s="54"/>
    </row>
    <row r="218" ht="14.25" customHeight="1">
      <c r="A218" s="66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  <c r="AE218" s="54"/>
      <c r="AF218" s="54"/>
      <c r="AG218" s="54"/>
    </row>
    <row r="219" ht="14.25" customHeight="1">
      <c r="A219" s="66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  <c r="AE219" s="54"/>
      <c r="AF219" s="54"/>
      <c r="AG219" s="54"/>
    </row>
    <row r="220" ht="14.25" customHeight="1">
      <c r="A220" s="66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  <c r="AE220" s="54"/>
      <c r="AF220" s="54"/>
      <c r="AG220" s="54"/>
    </row>
    <row r="221" ht="14.25" customHeight="1">
      <c r="A221" s="66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  <c r="AE221" s="54"/>
      <c r="AF221" s="54"/>
      <c r="AG221" s="54"/>
    </row>
    <row r="222" ht="14.25" customHeight="1">
      <c r="A222" s="66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  <c r="AE222" s="54"/>
      <c r="AF222" s="54"/>
      <c r="AG222" s="54"/>
    </row>
    <row r="223" ht="14.25" customHeight="1">
      <c r="A223" s="66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  <c r="AC223" s="54"/>
      <c r="AD223" s="54"/>
      <c r="AE223" s="54"/>
      <c r="AF223" s="54"/>
      <c r="AG223" s="54"/>
    </row>
    <row r="224" ht="14.25" customHeight="1">
      <c r="A224" s="66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  <c r="AE224" s="54"/>
      <c r="AF224" s="54"/>
      <c r="AG224" s="54"/>
    </row>
    <row r="225" ht="14.25" customHeight="1">
      <c r="A225" s="66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  <c r="AE225" s="54"/>
      <c r="AF225" s="54"/>
      <c r="AG225" s="54"/>
    </row>
    <row r="226" ht="14.25" customHeight="1">
      <c r="A226" s="66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  <c r="AE226" s="54"/>
      <c r="AF226" s="54"/>
      <c r="AG226" s="54"/>
    </row>
    <row r="227" ht="14.25" customHeight="1">
      <c r="A227" s="66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  <c r="AE227" s="54"/>
      <c r="AF227" s="54"/>
      <c r="AG227" s="54"/>
    </row>
    <row r="228" ht="14.25" customHeight="1">
      <c r="A228" s="66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  <c r="AE228" s="54"/>
      <c r="AF228" s="54"/>
      <c r="AG228" s="54"/>
    </row>
    <row r="229" ht="14.25" customHeight="1">
      <c r="A229" s="66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  <c r="AE229" s="54"/>
      <c r="AF229" s="54"/>
      <c r="AG229" s="54"/>
    </row>
    <row r="230" ht="14.25" customHeight="1">
      <c r="A230" s="66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  <c r="AE230" s="54"/>
      <c r="AF230" s="54"/>
      <c r="AG230" s="54"/>
    </row>
    <row r="231" ht="14.25" customHeight="1">
      <c r="A231" s="66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  <c r="AE231" s="54"/>
      <c r="AF231" s="54"/>
      <c r="AG231" s="54"/>
    </row>
    <row r="232" ht="14.25" customHeight="1">
      <c r="A232" s="66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  <c r="AE232" s="54"/>
      <c r="AF232" s="54"/>
      <c r="AG232" s="54"/>
    </row>
    <row r="233" ht="14.25" customHeight="1">
      <c r="A233" s="66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  <c r="AE233" s="54"/>
      <c r="AF233" s="54"/>
      <c r="AG233" s="54"/>
    </row>
    <row r="234" ht="14.25" customHeight="1">
      <c r="A234" s="66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  <c r="AG234" s="54"/>
    </row>
    <row r="235" ht="14.25" customHeight="1">
      <c r="A235" s="66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  <c r="AG235" s="54"/>
    </row>
    <row r="236" ht="14.25" customHeight="1">
      <c r="A236" s="66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  <c r="AE236" s="54"/>
      <c r="AF236" s="54"/>
      <c r="AG236" s="54"/>
    </row>
    <row r="237" ht="14.25" customHeight="1">
      <c r="A237" s="66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  <c r="AG237" s="54"/>
    </row>
    <row r="238" ht="14.25" customHeight="1">
      <c r="A238" s="66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  <c r="AG238" s="54"/>
    </row>
    <row r="239" ht="14.25" customHeight="1">
      <c r="A239" s="66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  <c r="AG239" s="54"/>
    </row>
    <row r="240" ht="14.25" customHeight="1">
      <c r="A240" s="66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</row>
    <row r="241" ht="14.25" customHeight="1">
      <c r="A241" s="66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  <c r="AG241" s="54"/>
    </row>
    <row r="242" ht="14.25" customHeight="1">
      <c r="A242" s="66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  <c r="AG242" s="54"/>
    </row>
    <row r="243" ht="14.25" customHeight="1">
      <c r="A243" s="66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</row>
    <row r="244" ht="14.25" customHeight="1">
      <c r="A244" s="66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</row>
    <row r="245" ht="14.25" customHeight="1">
      <c r="A245" s="66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</row>
    <row r="246" ht="14.25" customHeight="1">
      <c r="A246" s="66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</row>
    <row r="247" ht="14.25" customHeight="1">
      <c r="A247" s="66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</row>
    <row r="248" ht="14.25" customHeight="1">
      <c r="A248" s="66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  <c r="AE248" s="54"/>
      <c r="AF248" s="54"/>
      <c r="AG248" s="54"/>
    </row>
    <row r="249" ht="14.25" customHeight="1">
      <c r="A249" s="66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  <c r="AE249" s="54"/>
      <c r="AF249" s="54"/>
      <c r="AG249" s="54"/>
    </row>
    <row r="250" ht="14.25" customHeight="1">
      <c r="A250" s="66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  <c r="AE250" s="54"/>
      <c r="AF250" s="54"/>
      <c r="AG250" s="54"/>
    </row>
    <row r="251" ht="14.25" customHeight="1">
      <c r="A251" s="66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  <c r="AE251" s="54"/>
      <c r="AF251" s="54"/>
      <c r="AG251" s="54"/>
    </row>
    <row r="252" ht="14.25" customHeight="1">
      <c r="A252" s="66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  <c r="AE252" s="54"/>
      <c r="AF252" s="54"/>
      <c r="AG252" s="54"/>
    </row>
    <row r="253" ht="14.25" customHeight="1">
      <c r="A253" s="66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  <c r="AE253" s="54"/>
      <c r="AF253" s="54"/>
      <c r="AG253" s="54"/>
    </row>
    <row r="254" ht="14.25" customHeight="1">
      <c r="A254" s="66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  <c r="AE254" s="54"/>
      <c r="AF254" s="54"/>
      <c r="AG254" s="54"/>
    </row>
    <row r="255" ht="14.25" customHeight="1">
      <c r="A255" s="66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  <c r="AE255" s="54"/>
      <c r="AF255" s="54"/>
      <c r="AG255" s="54"/>
    </row>
    <row r="256" ht="14.25" customHeight="1">
      <c r="A256" s="66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  <c r="AE256" s="54"/>
      <c r="AF256" s="54"/>
      <c r="AG256" s="54"/>
    </row>
    <row r="257" ht="14.25" customHeight="1">
      <c r="A257" s="66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  <c r="AE257" s="54"/>
      <c r="AF257" s="54"/>
      <c r="AG257" s="54"/>
    </row>
    <row r="258" ht="14.25" customHeight="1">
      <c r="A258" s="66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  <c r="AE258" s="54"/>
      <c r="AF258" s="54"/>
      <c r="AG258" s="54"/>
    </row>
    <row r="259" ht="14.25" customHeight="1">
      <c r="A259" s="66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  <c r="AE259" s="54"/>
      <c r="AF259" s="54"/>
      <c r="AG259" s="54"/>
    </row>
    <row r="260" ht="14.25" customHeight="1">
      <c r="A260" s="66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  <c r="AE260" s="54"/>
      <c r="AF260" s="54"/>
      <c r="AG260" s="54"/>
    </row>
    <row r="261" ht="14.25" customHeight="1">
      <c r="A261" s="66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  <c r="AE261" s="54"/>
      <c r="AF261" s="54"/>
      <c r="AG261" s="54"/>
    </row>
    <row r="262" ht="14.25" customHeight="1">
      <c r="A262" s="66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  <c r="AE262" s="54"/>
      <c r="AF262" s="54"/>
      <c r="AG262" s="54"/>
    </row>
    <row r="263" ht="14.25" customHeight="1">
      <c r="A263" s="66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  <c r="AE263" s="54"/>
      <c r="AF263" s="54"/>
      <c r="AG263" s="54"/>
    </row>
    <row r="264" ht="14.25" customHeight="1">
      <c r="A264" s="66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  <c r="AE264" s="54"/>
      <c r="AF264" s="54"/>
      <c r="AG264" s="54"/>
    </row>
    <row r="265" ht="14.25" customHeight="1">
      <c r="A265" s="66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  <c r="AE265" s="54"/>
      <c r="AF265" s="54"/>
      <c r="AG265" s="54"/>
    </row>
    <row r="266" ht="14.25" customHeight="1">
      <c r="A266" s="66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  <c r="AE266" s="54"/>
      <c r="AF266" s="54"/>
      <c r="AG266" s="54"/>
    </row>
    <row r="267" ht="14.25" customHeight="1">
      <c r="A267" s="66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  <c r="AE267" s="54"/>
      <c r="AF267" s="54"/>
      <c r="AG267" s="54"/>
    </row>
    <row r="268" ht="14.25" customHeight="1">
      <c r="A268" s="66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  <c r="AE268" s="54"/>
      <c r="AF268" s="54"/>
      <c r="AG268" s="54"/>
    </row>
    <row r="269" ht="14.25" customHeight="1">
      <c r="A269" s="66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  <c r="AE269" s="54"/>
      <c r="AF269" s="54"/>
      <c r="AG269" s="54"/>
    </row>
    <row r="270" ht="14.25" customHeight="1">
      <c r="A270" s="66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</row>
    <row r="271" ht="14.25" customHeight="1">
      <c r="A271" s="66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  <c r="AF271" s="54"/>
      <c r="AG271" s="54"/>
    </row>
    <row r="272" ht="14.25" customHeight="1">
      <c r="A272" s="66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</row>
    <row r="273" ht="14.25" customHeight="1">
      <c r="A273" s="66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  <c r="AG273" s="54"/>
    </row>
    <row r="274" ht="14.25" customHeight="1">
      <c r="A274" s="66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  <c r="AE274" s="54"/>
      <c r="AF274" s="54"/>
      <c r="AG274" s="54"/>
    </row>
    <row r="275" ht="14.25" customHeight="1">
      <c r="A275" s="66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</row>
    <row r="276" ht="14.25" customHeight="1">
      <c r="A276" s="66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</row>
    <row r="277" ht="14.25" customHeight="1">
      <c r="A277" s="66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  <c r="AG277" s="54"/>
    </row>
    <row r="278" ht="14.25" customHeight="1">
      <c r="A278" s="66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</row>
    <row r="279" ht="14.25" customHeight="1">
      <c r="A279" s="66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</row>
    <row r="280" ht="14.25" customHeight="1">
      <c r="A280" s="66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</row>
    <row r="281" ht="14.25" customHeight="1">
      <c r="A281" s="66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</row>
    <row r="282" ht="14.25" customHeight="1">
      <c r="A282" s="66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</row>
    <row r="283" ht="14.25" customHeight="1">
      <c r="A283" s="66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</row>
    <row r="284" ht="14.25" customHeight="1">
      <c r="A284" s="66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  <c r="AG284" s="54"/>
    </row>
    <row r="285" ht="14.25" customHeight="1">
      <c r="A285" s="66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</row>
    <row r="286" ht="14.25" customHeight="1">
      <c r="A286" s="66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  <c r="AE286" s="54"/>
      <c r="AF286" s="54"/>
      <c r="AG286" s="54"/>
    </row>
    <row r="287" ht="14.25" customHeight="1">
      <c r="A287" s="66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  <c r="AE287" s="54"/>
      <c r="AF287" s="54"/>
      <c r="AG287" s="54"/>
    </row>
    <row r="288" ht="14.25" customHeight="1">
      <c r="A288" s="66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  <c r="AE288" s="54"/>
      <c r="AF288" s="54"/>
      <c r="AG288" s="54"/>
    </row>
    <row r="289" ht="14.25" customHeight="1">
      <c r="A289" s="66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  <c r="AE289" s="54"/>
      <c r="AF289" s="54"/>
      <c r="AG289" s="54"/>
    </row>
    <row r="290" ht="14.25" customHeight="1">
      <c r="A290" s="66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  <c r="AE290" s="54"/>
      <c r="AF290" s="54"/>
      <c r="AG290" s="54"/>
    </row>
    <row r="291" ht="14.25" customHeight="1">
      <c r="A291" s="66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  <c r="AE291" s="54"/>
      <c r="AF291" s="54"/>
      <c r="AG291" s="54"/>
    </row>
    <row r="292" ht="14.25" customHeight="1">
      <c r="A292" s="66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  <c r="AE292" s="54"/>
      <c r="AF292" s="54"/>
      <c r="AG292" s="54"/>
    </row>
    <row r="293" ht="14.25" customHeight="1">
      <c r="A293" s="66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  <c r="AE293" s="54"/>
      <c r="AF293" s="54"/>
      <c r="AG293" s="54"/>
    </row>
    <row r="294" ht="14.25" customHeight="1">
      <c r="A294" s="66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  <c r="AE294" s="54"/>
      <c r="AF294" s="54"/>
      <c r="AG294" s="54"/>
    </row>
    <row r="295" ht="14.25" customHeight="1">
      <c r="A295" s="66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  <c r="AE295" s="54"/>
      <c r="AF295" s="54"/>
      <c r="AG295" s="54"/>
    </row>
    <row r="296" ht="14.25" customHeight="1">
      <c r="A296" s="66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  <c r="AE296" s="54"/>
      <c r="AF296" s="54"/>
      <c r="AG296" s="54"/>
    </row>
    <row r="297" ht="14.25" customHeight="1">
      <c r="A297" s="66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  <c r="AE297" s="54"/>
      <c r="AF297" s="54"/>
      <c r="AG297" s="54"/>
    </row>
    <row r="298" ht="14.25" customHeight="1">
      <c r="A298" s="66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  <c r="AE298" s="54"/>
      <c r="AF298" s="54"/>
      <c r="AG298" s="54"/>
    </row>
    <row r="299" ht="14.25" customHeight="1">
      <c r="A299" s="66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  <c r="AE299" s="54"/>
      <c r="AF299" s="54"/>
      <c r="AG299" s="54"/>
    </row>
    <row r="300" ht="14.25" customHeight="1">
      <c r="A300" s="66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  <c r="AE300" s="54"/>
      <c r="AF300" s="54"/>
      <c r="AG300" s="54"/>
    </row>
    <row r="301" ht="14.25" customHeight="1">
      <c r="A301" s="66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  <c r="AE301" s="54"/>
      <c r="AF301" s="54"/>
      <c r="AG301" s="54"/>
    </row>
    <row r="302" ht="14.25" customHeight="1">
      <c r="A302" s="66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  <c r="AE302" s="54"/>
      <c r="AF302" s="54"/>
      <c r="AG302" s="54"/>
    </row>
    <row r="303" ht="14.25" customHeight="1">
      <c r="A303" s="66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  <c r="AC303" s="54"/>
      <c r="AD303" s="54"/>
      <c r="AE303" s="54"/>
      <c r="AF303" s="54"/>
      <c r="AG303" s="54"/>
    </row>
    <row r="304" ht="14.25" customHeight="1">
      <c r="A304" s="66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  <c r="AC304" s="54"/>
      <c r="AD304" s="54"/>
      <c r="AE304" s="54"/>
      <c r="AF304" s="54"/>
      <c r="AG304" s="54"/>
    </row>
    <row r="305" ht="14.25" customHeight="1">
      <c r="A305" s="66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  <c r="AC305" s="54"/>
      <c r="AD305" s="54"/>
      <c r="AE305" s="54"/>
      <c r="AF305" s="54"/>
      <c r="AG305" s="54"/>
    </row>
    <row r="306" ht="14.25" customHeight="1">
      <c r="A306" s="66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  <c r="AD306" s="54"/>
      <c r="AE306" s="54"/>
      <c r="AF306" s="54"/>
      <c r="AG306" s="54"/>
    </row>
    <row r="307" ht="14.25" customHeight="1">
      <c r="A307" s="66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  <c r="AE307" s="54"/>
      <c r="AF307" s="54"/>
      <c r="AG307" s="54"/>
    </row>
    <row r="308" ht="14.25" customHeight="1">
      <c r="A308" s="66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  <c r="AD308" s="54"/>
      <c r="AE308" s="54"/>
      <c r="AF308" s="54"/>
      <c r="AG308" s="54"/>
    </row>
    <row r="309" ht="14.25" customHeight="1">
      <c r="A309" s="66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  <c r="AE309" s="54"/>
      <c r="AF309" s="54"/>
      <c r="AG309" s="54"/>
    </row>
    <row r="310" ht="14.25" customHeight="1">
      <c r="A310" s="66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  <c r="AG310" s="54"/>
    </row>
    <row r="311" ht="14.25" customHeight="1">
      <c r="A311" s="66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</row>
    <row r="312" ht="14.25" customHeight="1">
      <c r="A312" s="66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  <c r="AE312" s="54"/>
      <c r="AF312" s="54"/>
      <c r="AG312" s="54"/>
    </row>
    <row r="313" ht="14.25" customHeight="1">
      <c r="A313" s="66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  <c r="AG313" s="54"/>
    </row>
    <row r="314" ht="14.25" customHeight="1">
      <c r="A314" s="66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</row>
    <row r="315" ht="14.25" customHeight="1">
      <c r="A315" s="66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  <c r="AG315" s="54"/>
    </row>
    <row r="316" ht="14.25" customHeight="1">
      <c r="A316" s="66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  <c r="AG316" s="54"/>
    </row>
    <row r="317" ht="14.25" customHeight="1">
      <c r="A317" s="66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  <c r="AG317" s="54"/>
    </row>
    <row r="318" ht="14.25" customHeight="1">
      <c r="A318" s="66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  <c r="AG318" s="54"/>
    </row>
    <row r="319" ht="14.25" customHeight="1">
      <c r="A319" s="66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  <c r="AG319" s="54"/>
    </row>
    <row r="320" ht="14.25" customHeight="1">
      <c r="A320" s="66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  <c r="AG320" s="54"/>
    </row>
    <row r="321" ht="14.25" customHeight="1">
      <c r="A321" s="66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  <c r="AG321" s="54"/>
    </row>
    <row r="322" ht="14.25" customHeight="1">
      <c r="A322" s="66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  <c r="AG322" s="54"/>
    </row>
    <row r="323" ht="14.25" customHeight="1">
      <c r="A323" s="66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</row>
    <row r="324" ht="14.25" customHeight="1">
      <c r="A324" s="66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  <c r="AE324" s="54"/>
      <c r="AF324" s="54"/>
      <c r="AG324" s="54"/>
    </row>
    <row r="325" ht="14.25" customHeight="1">
      <c r="A325" s="66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  <c r="AE325" s="54"/>
      <c r="AF325" s="54"/>
      <c r="AG325" s="54"/>
    </row>
    <row r="326" ht="14.25" customHeight="1">
      <c r="A326" s="66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  <c r="AE326" s="54"/>
      <c r="AF326" s="54"/>
      <c r="AG326" s="54"/>
    </row>
    <row r="327" ht="14.25" customHeight="1">
      <c r="A327" s="66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  <c r="AE327" s="54"/>
      <c r="AF327" s="54"/>
      <c r="AG327" s="54"/>
    </row>
    <row r="328" ht="14.25" customHeight="1">
      <c r="A328" s="66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  <c r="AE328" s="54"/>
      <c r="AF328" s="54"/>
      <c r="AG328" s="54"/>
    </row>
    <row r="329" ht="14.25" customHeight="1">
      <c r="A329" s="66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  <c r="AE329" s="54"/>
      <c r="AF329" s="54"/>
      <c r="AG329" s="54"/>
    </row>
    <row r="330" ht="14.25" customHeight="1">
      <c r="A330" s="66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  <c r="AE330" s="54"/>
      <c r="AF330" s="54"/>
      <c r="AG330" s="54"/>
    </row>
    <row r="331" ht="14.25" customHeight="1">
      <c r="A331" s="66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  <c r="AE331" s="54"/>
      <c r="AF331" s="54"/>
      <c r="AG331" s="54"/>
    </row>
    <row r="332" ht="14.25" customHeight="1">
      <c r="A332" s="66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  <c r="AE332" s="54"/>
      <c r="AF332" s="54"/>
      <c r="AG332" s="54"/>
    </row>
    <row r="333" ht="14.25" customHeight="1">
      <c r="A333" s="66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  <c r="AE333" s="54"/>
      <c r="AF333" s="54"/>
      <c r="AG333" s="54"/>
    </row>
    <row r="334" ht="14.25" customHeight="1">
      <c r="A334" s="66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  <c r="AE334" s="54"/>
      <c r="AF334" s="54"/>
      <c r="AG334" s="54"/>
    </row>
    <row r="335" ht="14.25" customHeight="1">
      <c r="A335" s="66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  <c r="AE335" s="54"/>
      <c r="AF335" s="54"/>
      <c r="AG335" s="54"/>
    </row>
    <row r="336" ht="14.25" customHeight="1">
      <c r="A336" s="66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  <c r="AE336" s="54"/>
      <c r="AF336" s="54"/>
      <c r="AG336" s="54"/>
    </row>
    <row r="337" ht="14.25" customHeight="1">
      <c r="A337" s="66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  <c r="AE337" s="54"/>
      <c r="AF337" s="54"/>
      <c r="AG337" s="54"/>
    </row>
    <row r="338" ht="14.25" customHeight="1">
      <c r="A338" s="66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  <c r="AE338" s="54"/>
      <c r="AF338" s="54"/>
      <c r="AG338" s="54"/>
    </row>
    <row r="339" ht="14.25" customHeight="1">
      <c r="A339" s="66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  <c r="AE339" s="54"/>
      <c r="AF339" s="54"/>
      <c r="AG339" s="54"/>
    </row>
    <row r="340" ht="14.25" customHeight="1">
      <c r="A340" s="66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  <c r="AE340" s="54"/>
      <c r="AF340" s="54"/>
      <c r="AG340" s="54"/>
    </row>
    <row r="341" ht="14.25" customHeight="1">
      <c r="A341" s="66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  <c r="AE341" s="54"/>
      <c r="AF341" s="54"/>
      <c r="AG341" s="54"/>
    </row>
    <row r="342" ht="14.25" customHeight="1">
      <c r="A342" s="66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  <c r="AE342" s="54"/>
      <c r="AF342" s="54"/>
      <c r="AG342" s="54"/>
    </row>
    <row r="343" ht="14.25" customHeight="1">
      <c r="A343" s="66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  <c r="AE343" s="54"/>
      <c r="AF343" s="54"/>
      <c r="AG343" s="54"/>
    </row>
    <row r="344" ht="14.25" customHeight="1">
      <c r="A344" s="66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  <c r="AE344" s="54"/>
      <c r="AF344" s="54"/>
      <c r="AG344" s="54"/>
    </row>
    <row r="345" ht="14.25" customHeight="1">
      <c r="A345" s="66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  <c r="AE345" s="54"/>
      <c r="AF345" s="54"/>
      <c r="AG345" s="54"/>
    </row>
    <row r="346" ht="14.25" customHeight="1">
      <c r="A346" s="66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  <c r="AC346" s="54"/>
      <c r="AD346" s="54"/>
      <c r="AE346" s="54"/>
      <c r="AF346" s="54"/>
      <c r="AG346" s="54"/>
    </row>
    <row r="347" ht="14.25" customHeight="1">
      <c r="A347" s="66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  <c r="AD347" s="54"/>
      <c r="AE347" s="54"/>
      <c r="AF347" s="54"/>
      <c r="AG347" s="54"/>
    </row>
    <row r="348" ht="14.25" customHeight="1">
      <c r="A348" s="66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  <c r="AG348" s="54"/>
    </row>
    <row r="349" ht="14.25" customHeight="1">
      <c r="A349" s="66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  <c r="AG349" s="54"/>
    </row>
    <row r="350" ht="14.25" customHeight="1">
      <c r="A350" s="66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  <c r="AE350" s="54"/>
      <c r="AF350" s="54"/>
      <c r="AG350" s="54"/>
    </row>
    <row r="351" ht="14.25" customHeight="1">
      <c r="A351" s="66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  <c r="AG351" s="54"/>
    </row>
    <row r="352" ht="14.25" customHeight="1">
      <c r="A352" s="66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  <c r="AF352" s="54"/>
      <c r="AG352" s="54"/>
    </row>
    <row r="353" ht="14.25" customHeight="1">
      <c r="A353" s="66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  <c r="AG353" s="54"/>
    </row>
    <row r="354" ht="14.25" customHeight="1">
      <c r="A354" s="66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  <c r="AG354" s="54"/>
    </row>
    <row r="355" ht="14.25" customHeight="1">
      <c r="A355" s="66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</row>
    <row r="356" ht="14.25" customHeight="1">
      <c r="A356" s="66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  <c r="AG356" s="54"/>
    </row>
    <row r="357" ht="14.25" customHeight="1">
      <c r="A357" s="66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  <c r="AG357" s="54"/>
    </row>
    <row r="358" ht="14.25" customHeight="1">
      <c r="A358" s="66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</row>
    <row r="359" ht="14.25" customHeight="1">
      <c r="A359" s="66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  <c r="AG359" s="54"/>
    </row>
    <row r="360" ht="14.25" customHeight="1">
      <c r="A360" s="66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  <c r="AG360" s="54"/>
    </row>
    <row r="361" ht="14.25" customHeight="1">
      <c r="A361" s="66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  <c r="AG361" s="54"/>
    </row>
    <row r="362" ht="14.25" customHeight="1">
      <c r="A362" s="66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  <c r="AE362" s="54"/>
      <c r="AF362" s="54"/>
      <c r="AG362" s="54"/>
    </row>
    <row r="363" ht="14.25" customHeight="1">
      <c r="A363" s="66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  <c r="AE363" s="54"/>
      <c r="AF363" s="54"/>
      <c r="AG363" s="54"/>
    </row>
    <row r="364" ht="14.25" customHeight="1">
      <c r="A364" s="66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  <c r="AE364" s="54"/>
      <c r="AF364" s="54"/>
      <c r="AG364" s="54"/>
    </row>
    <row r="365" ht="14.25" customHeight="1">
      <c r="A365" s="66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  <c r="AE365" s="54"/>
      <c r="AF365" s="54"/>
      <c r="AG365" s="54"/>
    </row>
    <row r="366" ht="14.25" customHeight="1">
      <c r="A366" s="66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  <c r="AE366" s="54"/>
      <c r="AF366" s="54"/>
      <c r="AG366" s="54"/>
    </row>
    <row r="367" ht="14.25" customHeight="1">
      <c r="A367" s="66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  <c r="AE367" s="54"/>
      <c r="AF367" s="54"/>
      <c r="AG367" s="54"/>
    </row>
    <row r="368" ht="14.25" customHeight="1">
      <c r="A368" s="66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  <c r="AE368" s="54"/>
      <c r="AF368" s="54"/>
      <c r="AG368" s="54"/>
    </row>
    <row r="369" ht="14.25" customHeight="1">
      <c r="A369" s="66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  <c r="AE369" s="54"/>
      <c r="AF369" s="54"/>
      <c r="AG369" s="54"/>
    </row>
    <row r="370" ht="14.25" customHeight="1">
      <c r="A370" s="66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  <c r="AE370" s="54"/>
      <c r="AF370" s="54"/>
      <c r="AG370" s="54"/>
    </row>
    <row r="371" ht="14.25" customHeight="1">
      <c r="A371" s="66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  <c r="AE371" s="54"/>
      <c r="AF371" s="54"/>
      <c r="AG371" s="54"/>
    </row>
    <row r="372" ht="14.25" customHeight="1">
      <c r="A372" s="66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  <c r="AE372" s="54"/>
      <c r="AF372" s="54"/>
      <c r="AG372" s="54"/>
    </row>
    <row r="373" ht="14.25" customHeight="1">
      <c r="A373" s="66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  <c r="AE373" s="54"/>
      <c r="AF373" s="54"/>
      <c r="AG373" s="54"/>
    </row>
    <row r="374" ht="14.25" customHeight="1">
      <c r="A374" s="66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  <c r="AE374" s="54"/>
      <c r="AF374" s="54"/>
      <c r="AG374" s="54"/>
    </row>
    <row r="375" ht="14.25" customHeight="1">
      <c r="A375" s="66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  <c r="AE375" s="54"/>
      <c r="AF375" s="54"/>
      <c r="AG375" s="54"/>
    </row>
    <row r="376" ht="14.25" customHeight="1">
      <c r="A376" s="66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  <c r="AE376" s="54"/>
      <c r="AF376" s="54"/>
      <c r="AG376" s="54"/>
    </row>
    <row r="377" ht="14.25" customHeight="1">
      <c r="A377" s="66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  <c r="AE377" s="54"/>
      <c r="AF377" s="54"/>
      <c r="AG377" s="54"/>
    </row>
    <row r="378" ht="14.25" customHeight="1">
      <c r="A378" s="66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  <c r="AE378" s="54"/>
      <c r="AF378" s="54"/>
      <c r="AG378" s="54"/>
    </row>
    <row r="379" ht="14.25" customHeight="1">
      <c r="A379" s="66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  <c r="AE379" s="54"/>
      <c r="AF379" s="54"/>
      <c r="AG379" s="54"/>
    </row>
    <row r="380" ht="14.25" customHeight="1">
      <c r="A380" s="66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  <c r="AD380" s="54"/>
      <c r="AE380" s="54"/>
      <c r="AF380" s="54"/>
      <c r="AG380" s="54"/>
    </row>
    <row r="381" ht="14.25" customHeight="1">
      <c r="A381" s="66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  <c r="AD381" s="54"/>
      <c r="AE381" s="54"/>
      <c r="AF381" s="54"/>
      <c r="AG381" s="54"/>
    </row>
    <row r="382" ht="14.25" customHeight="1">
      <c r="A382" s="66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  <c r="AE382" s="54"/>
      <c r="AF382" s="54"/>
      <c r="AG382" s="54"/>
    </row>
    <row r="383" ht="14.25" customHeight="1">
      <c r="A383" s="66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  <c r="AD383" s="54"/>
      <c r="AE383" s="54"/>
      <c r="AF383" s="54"/>
      <c r="AG383" s="54"/>
    </row>
    <row r="384" ht="14.25" customHeight="1">
      <c r="A384" s="66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  <c r="AE384" s="54"/>
      <c r="AF384" s="54"/>
      <c r="AG384" s="54"/>
    </row>
    <row r="385" ht="14.25" customHeight="1">
      <c r="A385" s="66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  <c r="AE385" s="54"/>
      <c r="AF385" s="54"/>
      <c r="AG385" s="54"/>
    </row>
    <row r="386" ht="14.25" customHeight="1">
      <c r="A386" s="66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</row>
    <row r="387" ht="14.25" customHeight="1">
      <c r="A387" s="66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  <c r="AG387" s="54"/>
    </row>
    <row r="388" ht="14.25" customHeight="1">
      <c r="A388" s="66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  <c r="AD388" s="54"/>
      <c r="AE388" s="54"/>
      <c r="AF388" s="54"/>
      <c r="AG388" s="54"/>
    </row>
    <row r="389" ht="14.25" customHeight="1">
      <c r="A389" s="66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</row>
    <row r="390" ht="14.25" customHeight="1">
      <c r="A390" s="66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  <c r="AG390" s="54"/>
    </row>
    <row r="391" ht="14.25" customHeight="1">
      <c r="A391" s="66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  <c r="AG391" s="54"/>
    </row>
    <row r="392" ht="14.25" customHeight="1">
      <c r="A392" s="66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  <c r="AG392" s="54"/>
    </row>
    <row r="393" ht="14.25" customHeight="1">
      <c r="A393" s="66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</row>
    <row r="394" ht="14.25" customHeight="1">
      <c r="A394" s="66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</row>
    <row r="395" ht="14.25" customHeight="1">
      <c r="A395" s="66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  <c r="AG395" s="54"/>
    </row>
    <row r="396" ht="14.25" customHeight="1">
      <c r="A396" s="66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  <c r="AG396" s="54"/>
    </row>
    <row r="397" ht="14.25" customHeight="1">
      <c r="A397" s="66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  <c r="AG397" s="54"/>
    </row>
    <row r="398" ht="14.25" customHeight="1">
      <c r="A398" s="66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  <c r="AG398" s="54"/>
    </row>
    <row r="399" ht="14.25" customHeight="1">
      <c r="A399" s="66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</row>
    <row r="400" ht="14.25" customHeight="1">
      <c r="A400" s="66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  <c r="AE400" s="54"/>
      <c r="AF400" s="54"/>
      <c r="AG400" s="54"/>
    </row>
    <row r="401" ht="14.25" customHeight="1">
      <c r="A401" s="66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  <c r="AE401" s="54"/>
      <c r="AF401" s="54"/>
      <c r="AG401" s="54"/>
    </row>
    <row r="402" ht="14.25" customHeight="1">
      <c r="A402" s="66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  <c r="AE402" s="54"/>
      <c r="AF402" s="54"/>
      <c r="AG402" s="54"/>
    </row>
    <row r="403" ht="14.25" customHeight="1">
      <c r="A403" s="66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  <c r="AE403" s="54"/>
      <c r="AF403" s="54"/>
      <c r="AG403" s="54"/>
    </row>
    <row r="404" ht="14.25" customHeight="1">
      <c r="A404" s="66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  <c r="AE404" s="54"/>
      <c r="AF404" s="54"/>
      <c r="AG404" s="54"/>
    </row>
    <row r="405" ht="14.25" customHeight="1">
      <c r="A405" s="66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  <c r="AE405" s="54"/>
      <c r="AF405" s="54"/>
      <c r="AG405" s="54"/>
    </row>
    <row r="406" ht="14.25" customHeight="1">
      <c r="A406" s="66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  <c r="AE406" s="54"/>
      <c r="AF406" s="54"/>
      <c r="AG406" s="54"/>
    </row>
    <row r="407" ht="14.25" customHeight="1">
      <c r="A407" s="66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  <c r="AE407" s="54"/>
      <c r="AF407" s="54"/>
      <c r="AG407" s="54"/>
    </row>
    <row r="408" ht="14.25" customHeight="1">
      <c r="A408" s="66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  <c r="AE408" s="54"/>
      <c r="AF408" s="54"/>
      <c r="AG408" s="54"/>
    </row>
    <row r="409" ht="14.25" customHeight="1">
      <c r="A409" s="66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  <c r="AE409" s="54"/>
      <c r="AF409" s="54"/>
      <c r="AG409" s="54"/>
    </row>
    <row r="410" ht="14.25" customHeight="1">
      <c r="A410" s="66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  <c r="AE410" s="54"/>
      <c r="AF410" s="54"/>
      <c r="AG410" s="54"/>
    </row>
    <row r="411" ht="14.25" customHeight="1">
      <c r="A411" s="66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  <c r="AE411" s="54"/>
      <c r="AF411" s="54"/>
      <c r="AG411" s="54"/>
    </row>
    <row r="412" ht="14.25" customHeight="1">
      <c r="A412" s="66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  <c r="AE412" s="54"/>
      <c r="AF412" s="54"/>
      <c r="AG412" s="54"/>
    </row>
    <row r="413" ht="14.25" customHeight="1">
      <c r="A413" s="66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  <c r="AE413" s="54"/>
      <c r="AF413" s="54"/>
      <c r="AG413" s="54"/>
    </row>
    <row r="414" ht="14.25" customHeight="1">
      <c r="A414" s="66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  <c r="AE414" s="54"/>
      <c r="AF414" s="54"/>
      <c r="AG414" s="54"/>
    </row>
    <row r="415" ht="14.25" customHeight="1">
      <c r="A415" s="66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  <c r="AE415" s="54"/>
      <c r="AF415" s="54"/>
      <c r="AG415" s="54"/>
    </row>
    <row r="416" ht="14.25" customHeight="1">
      <c r="A416" s="66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  <c r="AE416" s="54"/>
      <c r="AF416" s="54"/>
      <c r="AG416" s="54"/>
    </row>
    <row r="417" ht="14.25" customHeight="1">
      <c r="A417" s="66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  <c r="AE417" s="54"/>
      <c r="AF417" s="54"/>
      <c r="AG417" s="54"/>
    </row>
    <row r="418" ht="14.25" customHeight="1">
      <c r="A418" s="66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  <c r="AE418" s="54"/>
      <c r="AF418" s="54"/>
      <c r="AG418" s="54"/>
    </row>
    <row r="419" ht="14.25" customHeight="1">
      <c r="A419" s="66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  <c r="AE419" s="54"/>
      <c r="AF419" s="54"/>
      <c r="AG419" s="54"/>
    </row>
    <row r="420" ht="14.25" customHeight="1">
      <c r="A420" s="66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  <c r="AC420" s="54"/>
      <c r="AD420" s="54"/>
      <c r="AE420" s="54"/>
      <c r="AF420" s="54"/>
      <c r="AG420" s="54"/>
    </row>
    <row r="421" ht="14.25" customHeight="1">
      <c r="A421" s="66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  <c r="AC421" s="54"/>
      <c r="AD421" s="54"/>
      <c r="AE421" s="54"/>
      <c r="AF421" s="54"/>
      <c r="AG421" s="54"/>
    </row>
    <row r="422" ht="14.25" customHeight="1">
      <c r="A422" s="66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  <c r="AC422" s="54"/>
      <c r="AD422" s="54"/>
      <c r="AE422" s="54"/>
      <c r="AF422" s="54"/>
      <c r="AG422" s="54"/>
    </row>
    <row r="423" ht="14.25" customHeight="1">
      <c r="A423" s="66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  <c r="AD423" s="54"/>
      <c r="AE423" s="54"/>
      <c r="AF423" s="54"/>
      <c r="AG423" s="54"/>
    </row>
    <row r="424" ht="14.25" customHeight="1">
      <c r="A424" s="66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  <c r="AF424" s="54"/>
      <c r="AG424" s="54"/>
    </row>
    <row r="425" ht="14.25" customHeight="1">
      <c r="A425" s="66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  <c r="AF425" s="54"/>
      <c r="AG425" s="54"/>
    </row>
    <row r="426" ht="14.25" customHeight="1">
      <c r="A426" s="66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  <c r="AC426" s="54"/>
      <c r="AD426" s="54"/>
      <c r="AE426" s="54"/>
      <c r="AF426" s="54"/>
      <c r="AG426" s="54"/>
    </row>
    <row r="427" ht="14.25" customHeight="1">
      <c r="A427" s="66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  <c r="AE427" s="54"/>
      <c r="AF427" s="54"/>
      <c r="AG427" s="54"/>
    </row>
    <row r="428" ht="14.25" customHeight="1">
      <c r="A428" s="66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  <c r="AF428" s="54"/>
      <c r="AG428" s="54"/>
    </row>
    <row r="429" ht="14.25" customHeight="1">
      <c r="A429" s="66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  <c r="AF429" s="54"/>
      <c r="AG429" s="54"/>
    </row>
    <row r="430" ht="14.25" customHeight="1">
      <c r="A430" s="66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  <c r="AE430" s="54"/>
      <c r="AF430" s="54"/>
      <c r="AG430" s="54"/>
    </row>
    <row r="431" ht="14.25" customHeight="1">
      <c r="A431" s="66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  <c r="AF431" s="54"/>
      <c r="AG431" s="54"/>
    </row>
    <row r="432" ht="14.25" customHeight="1">
      <c r="A432" s="66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  <c r="AE432" s="54"/>
      <c r="AF432" s="54"/>
      <c r="AG432" s="54"/>
    </row>
    <row r="433" ht="14.25" customHeight="1">
      <c r="A433" s="66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  <c r="AF433" s="54"/>
      <c r="AG433" s="54"/>
    </row>
    <row r="434" ht="14.25" customHeight="1">
      <c r="A434" s="66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  <c r="AE434" s="54"/>
      <c r="AF434" s="54"/>
      <c r="AG434" s="54"/>
    </row>
    <row r="435" ht="14.25" customHeight="1">
      <c r="A435" s="66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  <c r="AF435" s="54"/>
      <c r="AG435" s="54"/>
    </row>
    <row r="436" ht="14.25" customHeight="1">
      <c r="A436" s="66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  <c r="AF436" s="54"/>
      <c r="AG436" s="54"/>
    </row>
    <row r="437" ht="14.25" customHeight="1">
      <c r="A437" s="66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  <c r="AE437" s="54"/>
      <c r="AF437" s="54"/>
      <c r="AG437" s="54"/>
    </row>
    <row r="438" ht="14.25" customHeight="1">
      <c r="A438" s="66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  <c r="AC438" s="54"/>
      <c r="AD438" s="54"/>
      <c r="AE438" s="54"/>
      <c r="AF438" s="54"/>
      <c r="AG438" s="54"/>
    </row>
    <row r="439" ht="14.25" customHeight="1">
      <c r="A439" s="66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  <c r="AC439" s="54"/>
      <c r="AD439" s="54"/>
      <c r="AE439" s="54"/>
      <c r="AF439" s="54"/>
      <c r="AG439" s="54"/>
    </row>
    <row r="440" ht="14.25" customHeight="1">
      <c r="A440" s="66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  <c r="AE440" s="54"/>
      <c r="AF440" s="54"/>
      <c r="AG440" s="54"/>
    </row>
    <row r="441" ht="14.25" customHeight="1">
      <c r="A441" s="66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  <c r="AC441" s="54"/>
      <c r="AD441" s="54"/>
      <c r="AE441" s="54"/>
      <c r="AF441" s="54"/>
      <c r="AG441" s="54"/>
    </row>
    <row r="442" ht="14.25" customHeight="1">
      <c r="A442" s="66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  <c r="AC442" s="54"/>
      <c r="AD442" s="54"/>
      <c r="AE442" s="54"/>
      <c r="AF442" s="54"/>
      <c r="AG442" s="54"/>
    </row>
    <row r="443" ht="14.25" customHeight="1">
      <c r="A443" s="66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  <c r="AC443" s="54"/>
      <c r="AD443" s="54"/>
      <c r="AE443" s="54"/>
      <c r="AF443" s="54"/>
      <c r="AG443" s="54"/>
    </row>
    <row r="444" ht="14.25" customHeight="1">
      <c r="A444" s="66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  <c r="AC444" s="54"/>
      <c r="AD444" s="54"/>
      <c r="AE444" s="54"/>
      <c r="AF444" s="54"/>
      <c r="AG444" s="54"/>
    </row>
    <row r="445" ht="14.25" customHeight="1">
      <c r="A445" s="66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  <c r="AC445" s="54"/>
      <c r="AD445" s="54"/>
      <c r="AE445" s="54"/>
      <c r="AF445" s="54"/>
      <c r="AG445" s="54"/>
    </row>
    <row r="446" ht="14.25" customHeight="1">
      <c r="A446" s="66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  <c r="AC446" s="54"/>
      <c r="AD446" s="54"/>
      <c r="AE446" s="54"/>
      <c r="AF446" s="54"/>
      <c r="AG446" s="54"/>
    </row>
    <row r="447" ht="14.25" customHeight="1">
      <c r="A447" s="66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  <c r="AD447" s="54"/>
      <c r="AE447" s="54"/>
      <c r="AF447" s="54"/>
      <c r="AG447" s="54"/>
    </row>
    <row r="448" ht="14.25" customHeight="1">
      <c r="A448" s="66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  <c r="AC448" s="54"/>
      <c r="AD448" s="54"/>
      <c r="AE448" s="54"/>
      <c r="AF448" s="54"/>
      <c r="AG448" s="54"/>
    </row>
    <row r="449" ht="14.25" customHeight="1">
      <c r="A449" s="66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  <c r="AD449" s="54"/>
      <c r="AE449" s="54"/>
      <c r="AF449" s="54"/>
      <c r="AG449" s="54"/>
    </row>
    <row r="450" ht="14.25" customHeight="1">
      <c r="A450" s="66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  <c r="AC450" s="54"/>
      <c r="AD450" s="54"/>
      <c r="AE450" s="54"/>
      <c r="AF450" s="54"/>
      <c r="AG450" s="54"/>
    </row>
    <row r="451" ht="14.25" customHeight="1">
      <c r="A451" s="66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  <c r="AD451" s="54"/>
      <c r="AE451" s="54"/>
      <c r="AF451" s="54"/>
      <c r="AG451" s="54"/>
    </row>
    <row r="452" ht="14.25" customHeight="1">
      <c r="A452" s="66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  <c r="AE452" s="54"/>
      <c r="AF452" s="54"/>
      <c r="AG452" s="54"/>
    </row>
    <row r="453" ht="14.25" customHeight="1">
      <c r="A453" s="66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  <c r="AC453" s="54"/>
      <c r="AD453" s="54"/>
      <c r="AE453" s="54"/>
      <c r="AF453" s="54"/>
      <c r="AG453" s="54"/>
    </row>
    <row r="454" ht="14.25" customHeight="1">
      <c r="A454" s="66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  <c r="AD454" s="54"/>
      <c r="AE454" s="54"/>
      <c r="AF454" s="54"/>
      <c r="AG454" s="54"/>
    </row>
    <row r="455" ht="14.25" customHeight="1">
      <c r="A455" s="66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  <c r="AD455" s="54"/>
      <c r="AE455" s="54"/>
      <c r="AF455" s="54"/>
      <c r="AG455" s="54"/>
    </row>
    <row r="456" ht="14.25" customHeight="1">
      <c r="A456" s="66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  <c r="AE456" s="54"/>
      <c r="AF456" s="54"/>
      <c r="AG456" s="54"/>
    </row>
    <row r="457" ht="14.25" customHeight="1">
      <c r="A457" s="66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  <c r="AE457" s="54"/>
      <c r="AF457" s="54"/>
      <c r="AG457" s="54"/>
    </row>
    <row r="458" ht="14.25" customHeight="1">
      <c r="A458" s="66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  <c r="AC458" s="54"/>
      <c r="AD458" s="54"/>
      <c r="AE458" s="54"/>
      <c r="AF458" s="54"/>
      <c r="AG458" s="54"/>
    </row>
    <row r="459" ht="14.25" customHeight="1">
      <c r="A459" s="66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  <c r="AE459" s="54"/>
      <c r="AF459" s="54"/>
      <c r="AG459" s="54"/>
    </row>
    <row r="460" ht="14.25" customHeight="1">
      <c r="A460" s="66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  <c r="AC460" s="54"/>
      <c r="AD460" s="54"/>
      <c r="AE460" s="54"/>
      <c r="AF460" s="54"/>
      <c r="AG460" s="54"/>
    </row>
    <row r="461" ht="14.25" customHeight="1">
      <c r="A461" s="66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  <c r="AC461" s="54"/>
      <c r="AD461" s="54"/>
      <c r="AE461" s="54"/>
      <c r="AF461" s="54"/>
      <c r="AG461" s="54"/>
    </row>
    <row r="462" ht="14.25" customHeight="1">
      <c r="A462" s="66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  <c r="AF462" s="54"/>
      <c r="AG462" s="54"/>
    </row>
    <row r="463" ht="14.25" customHeight="1">
      <c r="A463" s="66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  <c r="AF463" s="54"/>
      <c r="AG463" s="54"/>
    </row>
    <row r="464" ht="14.25" customHeight="1">
      <c r="A464" s="66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  <c r="AC464" s="54"/>
      <c r="AD464" s="54"/>
      <c r="AE464" s="54"/>
      <c r="AF464" s="54"/>
      <c r="AG464" s="54"/>
    </row>
    <row r="465" ht="14.25" customHeight="1">
      <c r="A465" s="66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  <c r="AF465" s="54"/>
      <c r="AG465" s="54"/>
    </row>
    <row r="466" ht="14.25" customHeight="1">
      <c r="A466" s="66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  <c r="AF466" s="54"/>
      <c r="AG466" s="54"/>
    </row>
    <row r="467" ht="14.25" customHeight="1">
      <c r="A467" s="66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  <c r="AF467" s="54"/>
      <c r="AG467" s="54"/>
    </row>
    <row r="468" ht="14.25" customHeight="1">
      <c r="A468" s="66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  <c r="AF468" s="54"/>
      <c r="AG468" s="54"/>
    </row>
    <row r="469" ht="14.25" customHeight="1">
      <c r="A469" s="66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  <c r="AF469" s="54"/>
      <c r="AG469" s="54"/>
    </row>
    <row r="470" ht="14.25" customHeight="1">
      <c r="A470" s="66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  <c r="AF470" s="54"/>
      <c r="AG470" s="54"/>
    </row>
    <row r="471" ht="14.25" customHeight="1">
      <c r="A471" s="66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  <c r="AF471" s="54"/>
      <c r="AG471" s="54"/>
    </row>
    <row r="472" ht="14.25" customHeight="1">
      <c r="A472" s="66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  <c r="AG472" s="54"/>
    </row>
    <row r="473" ht="14.25" customHeight="1">
      <c r="A473" s="66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  <c r="AF473" s="54"/>
      <c r="AG473" s="54"/>
    </row>
    <row r="474" ht="14.25" customHeight="1">
      <c r="A474" s="66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  <c r="AE474" s="54"/>
      <c r="AF474" s="54"/>
      <c r="AG474" s="54"/>
    </row>
    <row r="475" ht="14.25" customHeight="1">
      <c r="A475" s="66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  <c r="AE475" s="54"/>
      <c r="AF475" s="54"/>
      <c r="AG475" s="54"/>
    </row>
    <row r="476" ht="14.25" customHeight="1">
      <c r="A476" s="66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  <c r="AE476" s="54"/>
      <c r="AF476" s="54"/>
      <c r="AG476" s="54"/>
    </row>
    <row r="477" ht="14.25" customHeight="1">
      <c r="A477" s="66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  <c r="AC477" s="54"/>
      <c r="AD477" s="54"/>
      <c r="AE477" s="54"/>
      <c r="AF477" s="54"/>
      <c r="AG477" s="54"/>
    </row>
    <row r="478" ht="14.25" customHeight="1">
      <c r="A478" s="66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  <c r="AC478" s="54"/>
      <c r="AD478" s="54"/>
      <c r="AE478" s="54"/>
      <c r="AF478" s="54"/>
      <c r="AG478" s="54"/>
    </row>
    <row r="479" ht="14.25" customHeight="1">
      <c r="A479" s="66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  <c r="AC479" s="54"/>
      <c r="AD479" s="54"/>
      <c r="AE479" s="54"/>
      <c r="AF479" s="54"/>
      <c r="AG479" s="54"/>
    </row>
    <row r="480" ht="14.25" customHeight="1">
      <c r="A480" s="66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  <c r="AC480" s="54"/>
      <c r="AD480" s="54"/>
      <c r="AE480" s="54"/>
      <c r="AF480" s="54"/>
      <c r="AG480" s="54"/>
    </row>
    <row r="481" ht="14.25" customHeight="1">
      <c r="A481" s="66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  <c r="AC481" s="54"/>
      <c r="AD481" s="54"/>
      <c r="AE481" s="54"/>
      <c r="AF481" s="54"/>
      <c r="AG481" s="54"/>
    </row>
    <row r="482" ht="14.25" customHeight="1">
      <c r="A482" s="66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  <c r="AC482" s="54"/>
      <c r="AD482" s="54"/>
      <c r="AE482" s="54"/>
      <c r="AF482" s="54"/>
      <c r="AG482" s="54"/>
    </row>
    <row r="483" ht="14.25" customHeight="1">
      <c r="A483" s="66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  <c r="AC483" s="54"/>
      <c r="AD483" s="54"/>
      <c r="AE483" s="54"/>
      <c r="AF483" s="54"/>
      <c r="AG483" s="54"/>
    </row>
    <row r="484" ht="14.25" customHeight="1">
      <c r="A484" s="66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  <c r="AC484" s="54"/>
      <c r="AD484" s="54"/>
      <c r="AE484" s="54"/>
      <c r="AF484" s="54"/>
      <c r="AG484" s="54"/>
    </row>
    <row r="485" ht="14.25" customHeight="1">
      <c r="A485" s="66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  <c r="AC485" s="54"/>
      <c r="AD485" s="54"/>
      <c r="AE485" s="54"/>
      <c r="AF485" s="54"/>
      <c r="AG485" s="54"/>
    </row>
    <row r="486" ht="14.25" customHeight="1">
      <c r="A486" s="66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  <c r="AE486" s="54"/>
      <c r="AF486" s="54"/>
      <c r="AG486" s="54"/>
    </row>
    <row r="487" ht="14.25" customHeight="1">
      <c r="A487" s="66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  <c r="AE487" s="54"/>
      <c r="AF487" s="54"/>
      <c r="AG487" s="54"/>
    </row>
    <row r="488" ht="14.25" customHeight="1">
      <c r="A488" s="66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  <c r="AC488" s="54"/>
      <c r="AD488" s="54"/>
      <c r="AE488" s="54"/>
      <c r="AF488" s="54"/>
      <c r="AG488" s="54"/>
    </row>
    <row r="489" ht="14.25" customHeight="1">
      <c r="A489" s="66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  <c r="AE489" s="54"/>
      <c r="AF489" s="54"/>
      <c r="AG489" s="54"/>
    </row>
    <row r="490" ht="14.25" customHeight="1">
      <c r="A490" s="66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  <c r="AC490" s="54"/>
      <c r="AD490" s="54"/>
      <c r="AE490" s="54"/>
      <c r="AF490" s="54"/>
      <c r="AG490" s="54"/>
    </row>
    <row r="491" ht="14.25" customHeight="1">
      <c r="A491" s="66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  <c r="AE491" s="54"/>
      <c r="AF491" s="54"/>
      <c r="AG491" s="54"/>
    </row>
    <row r="492" ht="14.25" customHeight="1">
      <c r="A492" s="66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  <c r="AC492" s="54"/>
      <c r="AD492" s="54"/>
      <c r="AE492" s="54"/>
      <c r="AF492" s="54"/>
      <c r="AG492" s="54"/>
    </row>
    <row r="493" ht="14.25" customHeight="1">
      <c r="A493" s="66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  <c r="AE493" s="54"/>
      <c r="AF493" s="54"/>
      <c r="AG493" s="54"/>
    </row>
    <row r="494" ht="14.25" customHeight="1">
      <c r="A494" s="66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  <c r="AE494" s="54"/>
      <c r="AF494" s="54"/>
      <c r="AG494" s="54"/>
    </row>
    <row r="495" ht="14.25" customHeight="1">
      <c r="A495" s="66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  <c r="AE495" s="54"/>
      <c r="AF495" s="54"/>
      <c r="AG495" s="54"/>
    </row>
    <row r="496" ht="14.25" customHeight="1">
      <c r="A496" s="66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  <c r="AD496" s="54"/>
      <c r="AE496" s="54"/>
      <c r="AF496" s="54"/>
      <c r="AG496" s="54"/>
    </row>
    <row r="497" ht="14.25" customHeight="1">
      <c r="A497" s="66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  <c r="AE497" s="54"/>
      <c r="AF497" s="54"/>
      <c r="AG497" s="54"/>
    </row>
    <row r="498" ht="14.25" customHeight="1">
      <c r="A498" s="66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  <c r="AE498" s="54"/>
      <c r="AF498" s="54"/>
      <c r="AG498" s="54"/>
    </row>
    <row r="499" ht="14.25" customHeight="1">
      <c r="A499" s="66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  <c r="AE499" s="54"/>
      <c r="AF499" s="54"/>
      <c r="AG499" s="54"/>
    </row>
    <row r="500" ht="14.25" customHeight="1">
      <c r="A500" s="66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  <c r="AF500" s="54"/>
      <c r="AG500" s="54"/>
    </row>
    <row r="501" ht="14.25" customHeight="1">
      <c r="A501" s="66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  <c r="AF501" s="54"/>
      <c r="AG501" s="54"/>
    </row>
    <row r="502" ht="14.25" customHeight="1">
      <c r="A502" s="66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  <c r="AC502" s="54"/>
      <c r="AD502" s="54"/>
      <c r="AE502" s="54"/>
      <c r="AF502" s="54"/>
      <c r="AG502" s="54"/>
    </row>
    <row r="503" ht="14.25" customHeight="1">
      <c r="A503" s="66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  <c r="AE503" s="54"/>
      <c r="AF503" s="54"/>
      <c r="AG503" s="54"/>
    </row>
    <row r="504" ht="14.25" customHeight="1">
      <c r="A504" s="66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  <c r="AF504" s="54"/>
      <c r="AG504" s="54"/>
    </row>
    <row r="505" ht="14.25" customHeight="1">
      <c r="A505" s="66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  <c r="AE505" s="54"/>
      <c r="AF505" s="54"/>
      <c r="AG505" s="54"/>
    </row>
    <row r="506" ht="14.25" customHeight="1">
      <c r="A506" s="66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  <c r="AF506" s="54"/>
      <c r="AG506" s="54"/>
    </row>
    <row r="507" ht="14.25" customHeight="1">
      <c r="A507" s="66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  <c r="AE507" s="54"/>
      <c r="AF507" s="54"/>
      <c r="AG507" s="54"/>
    </row>
    <row r="508" ht="14.25" customHeight="1">
      <c r="A508" s="66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  <c r="AF508" s="54"/>
      <c r="AG508" s="54"/>
    </row>
    <row r="509" ht="14.25" customHeight="1">
      <c r="A509" s="66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  <c r="AE509" s="54"/>
      <c r="AF509" s="54"/>
      <c r="AG509" s="54"/>
    </row>
    <row r="510" ht="14.25" customHeight="1">
      <c r="A510" s="66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  <c r="AE510" s="54"/>
      <c r="AF510" s="54"/>
      <c r="AG510" s="54"/>
    </row>
    <row r="511" ht="14.25" customHeight="1">
      <c r="A511" s="66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  <c r="AE511" s="54"/>
      <c r="AF511" s="54"/>
      <c r="AG511" s="54"/>
    </row>
    <row r="512" ht="14.25" customHeight="1">
      <c r="A512" s="66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  <c r="AF512" s="54"/>
      <c r="AG512" s="54"/>
    </row>
    <row r="513" ht="14.25" customHeight="1">
      <c r="A513" s="66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  <c r="AF513" s="54"/>
      <c r="AG513" s="54"/>
    </row>
    <row r="514" ht="14.25" customHeight="1">
      <c r="A514" s="66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  <c r="AC514" s="54"/>
      <c r="AD514" s="54"/>
      <c r="AE514" s="54"/>
      <c r="AF514" s="54"/>
      <c r="AG514" s="54"/>
    </row>
    <row r="515" ht="14.25" customHeight="1">
      <c r="A515" s="66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  <c r="AC515" s="54"/>
      <c r="AD515" s="54"/>
      <c r="AE515" s="54"/>
      <c r="AF515" s="54"/>
      <c r="AG515" s="54"/>
    </row>
    <row r="516" ht="14.25" customHeight="1">
      <c r="A516" s="66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  <c r="AC516" s="54"/>
      <c r="AD516" s="54"/>
      <c r="AE516" s="54"/>
      <c r="AF516" s="54"/>
      <c r="AG516" s="54"/>
    </row>
    <row r="517" ht="14.25" customHeight="1">
      <c r="A517" s="66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  <c r="AC517" s="54"/>
      <c r="AD517" s="54"/>
      <c r="AE517" s="54"/>
      <c r="AF517" s="54"/>
      <c r="AG517" s="54"/>
    </row>
    <row r="518" ht="14.25" customHeight="1">
      <c r="A518" s="66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  <c r="AC518" s="54"/>
      <c r="AD518" s="54"/>
      <c r="AE518" s="54"/>
      <c r="AF518" s="54"/>
      <c r="AG518" s="54"/>
    </row>
    <row r="519" ht="14.25" customHeight="1">
      <c r="A519" s="66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  <c r="AC519" s="54"/>
      <c r="AD519" s="54"/>
      <c r="AE519" s="54"/>
      <c r="AF519" s="54"/>
      <c r="AG519" s="54"/>
    </row>
    <row r="520" ht="14.25" customHeight="1">
      <c r="A520" s="66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  <c r="AC520" s="54"/>
      <c r="AD520" s="54"/>
      <c r="AE520" s="54"/>
      <c r="AF520" s="54"/>
      <c r="AG520" s="54"/>
    </row>
    <row r="521" ht="14.25" customHeight="1">
      <c r="A521" s="66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  <c r="AC521" s="54"/>
      <c r="AD521" s="54"/>
      <c r="AE521" s="54"/>
      <c r="AF521" s="54"/>
      <c r="AG521" s="54"/>
    </row>
    <row r="522" ht="14.25" customHeight="1">
      <c r="A522" s="66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  <c r="AC522" s="54"/>
      <c r="AD522" s="54"/>
      <c r="AE522" s="54"/>
      <c r="AF522" s="54"/>
      <c r="AG522" s="54"/>
    </row>
    <row r="523" ht="14.25" customHeight="1">
      <c r="A523" s="66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  <c r="AC523" s="54"/>
      <c r="AD523" s="54"/>
      <c r="AE523" s="54"/>
      <c r="AF523" s="54"/>
      <c r="AG523" s="54"/>
    </row>
    <row r="524" ht="14.25" customHeight="1">
      <c r="A524" s="66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  <c r="AC524" s="54"/>
      <c r="AD524" s="54"/>
      <c r="AE524" s="54"/>
      <c r="AF524" s="54"/>
      <c r="AG524" s="54"/>
    </row>
    <row r="525" ht="14.25" customHeight="1">
      <c r="A525" s="66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  <c r="AC525" s="54"/>
      <c r="AD525" s="54"/>
      <c r="AE525" s="54"/>
      <c r="AF525" s="54"/>
      <c r="AG525" s="54"/>
    </row>
    <row r="526" ht="14.25" customHeight="1">
      <c r="A526" s="66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  <c r="AD526" s="54"/>
      <c r="AE526" s="54"/>
      <c r="AF526" s="54"/>
      <c r="AG526" s="54"/>
    </row>
    <row r="527" ht="14.25" customHeight="1">
      <c r="A527" s="66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  <c r="AC527" s="54"/>
      <c r="AD527" s="54"/>
      <c r="AE527" s="54"/>
      <c r="AF527" s="54"/>
      <c r="AG527" s="54"/>
    </row>
    <row r="528" ht="14.25" customHeight="1">
      <c r="A528" s="66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  <c r="AC528" s="54"/>
      <c r="AD528" s="54"/>
      <c r="AE528" s="54"/>
      <c r="AF528" s="54"/>
      <c r="AG528" s="54"/>
    </row>
    <row r="529" ht="14.25" customHeight="1">
      <c r="A529" s="66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  <c r="AC529" s="54"/>
      <c r="AD529" s="54"/>
      <c r="AE529" s="54"/>
      <c r="AF529" s="54"/>
      <c r="AG529" s="54"/>
    </row>
    <row r="530" ht="14.25" customHeight="1">
      <c r="A530" s="66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  <c r="AC530" s="54"/>
      <c r="AD530" s="54"/>
      <c r="AE530" s="54"/>
      <c r="AF530" s="54"/>
      <c r="AG530" s="54"/>
    </row>
    <row r="531" ht="14.25" customHeight="1">
      <c r="A531" s="66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  <c r="AC531" s="54"/>
      <c r="AD531" s="54"/>
      <c r="AE531" s="54"/>
      <c r="AF531" s="54"/>
      <c r="AG531" s="54"/>
    </row>
    <row r="532" ht="14.25" customHeight="1">
      <c r="A532" s="66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  <c r="AC532" s="54"/>
      <c r="AD532" s="54"/>
      <c r="AE532" s="54"/>
      <c r="AF532" s="54"/>
      <c r="AG532" s="54"/>
    </row>
    <row r="533" ht="14.25" customHeight="1">
      <c r="A533" s="66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  <c r="AC533" s="54"/>
      <c r="AD533" s="54"/>
      <c r="AE533" s="54"/>
      <c r="AF533" s="54"/>
      <c r="AG533" s="54"/>
    </row>
    <row r="534" ht="14.25" customHeight="1">
      <c r="A534" s="66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  <c r="AC534" s="54"/>
      <c r="AD534" s="54"/>
      <c r="AE534" s="54"/>
      <c r="AF534" s="54"/>
      <c r="AG534" s="54"/>
    </row>
    <row r="535" ht="14.25" customHeight="1">
      <c r="A535" s="66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  <c r="AC535" s="54"/>
      <c r="AD535" s="54"/>
      <c r="AE535" s="54"/>
      <c r="AF535" s="54"/>
      <c r="AG535" s="54"/>
    </row>
    <row r="536" ht="14.25" customHeight="1">
      <c r="A536" s="66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  <c r="AC536" s="54"/>
      <c r="AD536" s="54"/>
      <c r="AE536" s="54"/>
      <c r="AF536" s="54"/>
      <c r="AG536" s="54"/>
    </row>
    <row r="537" ht="14.25" customHeight="1">
      <c r="A537" s="66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  <c r="AC537" s="54"/>
      <c r="AD537" s="54"/>
      <c r="AE537" s="54"/>
      <c r="AF537" s="54"/>
      <c r="AG537" s="54"/>
    </row>
    <row r="538" ht="14.25" customHeight="1">
      <c r="A538" s="66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  <c r="AG538" s="54"/>
    </row>
    <row r="539" ht="14.25" customHeight="1">
      <c r="A539" s="66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  <c r="AF539" s="54"/>
      <c r="AG539" s="54"/>
    </row>
    <row r="540" ht="14.25" customHeight="1">
      <c r="A540" s="66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  <c r="AC540" s="54"/>
      <c r="AD540" s="54"/>
      <c r="AE540" s="54"/>
      <c r="AF540" s="54"/>
      <c r="AG540" s="54"/>
    </row>
    <row r="541" ht="14.25" customHeight="1">
      <c r="A541" s="66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  <c r="AE541" s="54"/>
      <c r="AF541" s="54"/>
      <c r="AG541" s="54"/>
    </row>
    <row r="542" ht="14.25" customHeight="1">
      <c r="A542" s="66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  <c r="AE542" s="54"/>
      <c r="AF542" s="54"/>
      <c r="AG542" s="54"/>
    </row>
    <row r="543" ht="14.25" customHeight="1">
      <c r="A543" s="66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  <c r="AE543" s="54"/>
      <c r="AF543" s="54"/>
      <c r="AG543" s="54"/>
    </row>
    <row r="544" ht="14.25" customHeight="1">
      <c r="A544" s="66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  <c r="AF544" s="54"/>
      <c r="AG544" s="54"/>
    </row>
    <row r="545" ht="14.25" customHeight="1">
      <c r="A545" s="66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  <c r="AE545" s="54"/>
      <c r="AF545" s="54"/>
      <c r="AG545" s="54"/>
    </row>
    <row r="546" ht="14.25" customHeight="1">
      <c r="A546" s="66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  <c r="AE546" s="54"/>
      <c r="AF546" s="54"/>
      <c r="AG546" s="54"/>
    </row>
    <row r="547" ht="14.25" customHeight="1">
      <c r="A547" s="66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  <c r="AE547" s="54"/>
      <c r="AF547" s="54"/>
      <c r="AG547" s="54"/>
    </row>
    <row r="548" ht="14.25" customHeight="1">
      <c r="A548" s="66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  <c r="AE548" s="54"/>
      <c r="AF548" s="54"/>
      <c r="AG548" s="54"/>
    </row>
    <row r="549" ht="14.25" customHeight="1">
      <c r="A549" s="66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  <c r="AE549" s="54"/>
      <c r="AF549" s="54"/>
      <c r="AG549" s="54"/>
    </row>
    <row r="550" ht="14.25" customHeight="1">
      <c r="A550" s="66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  <c r="AF550" s="54"/>
      <c r="AG550" s="54"/>
    </row>
    <row r="551" ht="14.25" customHeight="1">
      <c r="A551" s="66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  <c r="AE551" s="54"/>
      <c r="AF551" s="54"/>
      <c r="AG551" s="54"/>
    </row>
    <row r="552" ht="14.25" customHeight="1">
      <c r="A552" s="66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  <c r="AC552" s="54"/>
      <c r="AD552" s="54"/>
      <c r="AE552" s="54"/>
      <c r="AF552" s="54"/>
      <c r="AG552" s="54"/>
    </row>
    <row r="553" ht="14.25" customHeight="1">
      <c r="A553" s="66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  <c r="AC553" s="54"/>
      <c r="AD553" s="54"/>
      <c r="AE553" s="54"/>
      <c r="AF553" s="54"/>
      <c r="AG553" s="54"/>
    </row>
    <row r="554" ht="14.25" customHeight="1">
      <c r="A554" s="66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  <c r="AC554" s="54"/>
      <c r="AD554" s="54"/>
      <c r="AE554" s="54"/>
      <c r="AF554" s="54"/>
      <c r="AG554" s="54"/>
    </row>
    <row r="555" ht="14.25" customHeight="1">
      <c r="A555" s="66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  <c r="AC555" s="54"/>
      <c r="AD555" s="54"/>
      <c r="AE555" s="54"/>
      <c r="AF555" s="54"/>
      <c r="AG555" s="54"/>
    </row>
    <row r="556" ht="14.25" customHeight="1">
      <c r="A556" s="66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  <c r="AC556" s="54"/>
      <c r="AD556" s="54"/>
      <c r="AE556" s="54"/>
      <c r="AF556" s="54"/>
      <c r="AG556" s="54"/>
    </row>
    <row r="557" ht="14.25" customHeight="1">
      <c r="A557" s="66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  <c r="AC557" s="54"/>
      <c r="AD557" s="54"/>
      <c r="AE557" s="54"/>
      <c r="AF557" s="54"/>
      <c r="AG557" s="54"/>
    </row>
    <row r="558" ht="14.25" customHeight="1">
      <c r="A558" s="66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  <c r="AC558" s="54"/>
      <c r="AD558" s="54"/>
      <c r="AE558" s="54"/>
      <c r="AF558" s="54"/>
      <c r="AG558" s="54"/>
    </row>
    <row r="559" ht="14.25" customHeight="1">
      <c r="A559" s="66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  <c r="AC559" s="54"/>
      <c r="AD559" s="54"/>
      <c r="AE559" s="54"/>
      <c r="AF559" s="54"/>
      <c r="AG559" s="54"/>
    </row>
    <row r="560" ht="14.25" customHeight="1">
      <c r="A560" s="66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  <c r="AC560" s="54"/>
      <c r="AD560" s="54"/>
      <c r="AE560" s="54"/>
      <c r="AF560" s="54"/>
      <c r="AG560" s="54"/>
    </row>
    <row r="561" ht="14.25" customHeight="1">
      <c r="A561" s="66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  <c r="AC561" s="54"/>
      <c r="AD561" s="54"/>
      <c r="AE561" s="54"/>
      <c r="AF561" s="54"/>
      <c r="AG561" s="54"/>
    </row>
    <row r="562" ht="14.25" customHeight="1">
      <c r="A562" s="66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  <c r="AC562" s="54"/>
      <c r="AD562" s="54"/>
      <c r="AE562" s="54"/>
      <c r="AF562" s="54"/>
      <c r="AG562" s="54"/>
    </row>
    <row r="563" ht="14.25" customHeight="1">
      <c r="A563" s="66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  <c r="AC563" s="54"/>
      <c r="AD563" s="54"/>
      <c r="AE563" s="54"/>
      <c r="AF563" s="54"/>
      <c r="AG563" s="54"/>
    </row>
    <row r="564" ht="14.25" customHeight="1">
      <c r="A564" s="66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  <c r="AC564" s="54"/>
      <c r="AD564" s="54"/>
      <c r="AE564" s="54"/>
      <c r="AF564" s="54"/>
      <c r="AG564" s="54"/>
    </row>
    <row r="565" ht="14.25" customHeight="1">
      <c r="A565" s="66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  <c r="AE565" s="54"/>
      <c r="AF565" s="54"/>
      <c r="AG565" s="54"/>
    </row>
    <row r="566" ht="14.25" customHeight="1">
      <c r="A566" s="66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  <c r="AE566" s="54"/>
      <c r="AF566" s="54"/>
      <c r="AG566" s="54"/>
    </row>
    <row r="567" ht="14.25" customHeight="1">
      <c r="A567" s="66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  <c r="AE567" s="54"/>
      <c r="AF567" s="54"/>
      <c r="AG567" s="54"/>
    </row>
    <row r="568" ht="14.25" customHeight="1">
      <c r="A568" s="66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  <c r="AC568" s="54"/>
      <c r="AD568" s="54"/>
      <c r="AE568" s="54"/>
      <c r="AF568" s="54"/>
      <c r="AG568" s="54"/>
    </row>
    <row r="569" ht="14.25" customHeight="1">
      <c r="A569" s="66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  <c r="AE569" s="54"/>
      <c r="AF569" s="54"/>
      <c r="AG569" s="54"/>
    </row>
    <row r="570" ht="14.25" customHeight="1">
      <c r="A570" s="66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  <c r="AE570" s="54"/>
      <c r="AF570" s="54"/>
      <c r="AG570" s="54"/>
    </row>
    <row r="571" ht="14.25" customHeight="1">
      <c r="A571" s="66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  <c r="AE571" s="54"/>
      <c r="AF571" s="54"/>
      <c r="AG571" s="54"/>
    </row>
    <row r="572" ht="14.25" customHeight="1">
      <c r="A572" s="66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  <c r="AE572" s="54"/>
      <c r="AF572" s="54"/>
      <c r="AG572" s="54"/>
    </row>
    <row r="573" ht="14.25" customHeight="1">
      <c r="A573" s="66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  <c r="AE573" s="54"/>
      <c r="AF573" s="54"/>
      <c r="AG573" s="54"/>
    </row>
    <row r="574" ht="14.25" customHeight="1">
      <c r="A574" s="66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  <c r="AE574" s="54"/>
      <c r="AF574" s="54"/>
      <c r="AG574" s="54"/>
    </row>
    <row r="575" ht="14.25" customHeight="1">
      <c r="A575" s="66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  <c r="AE575" s="54"/>
      <c r="AF575" s="54"/>
      <c r="AG575" s="54"/>
    </row>
    <row r="576" ht="14.25" customHeight="1">
      <c r="A576" s="66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  <c r="AG576" s="54"/>
    </row>
    <row r="577" ht="14.25" customHeight="1">
      <c r="A577" s="66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  <c r="AG577" s="54"/>
    </row>
    <row r="578" ht="14.25" customHeight="1">
      <c r="A578" s="66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  <c r="AE578" s="54"/>
      <c r="AF578" s="54"/>
      <c r="AG578" s="54"/>
    </row>
    <row r="579" ht="14.25" customHeight="1">
      <c r="A579" s="66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  <c r="AG579" s="54"/>
    </row>
    <row r="580" ht="14.25" customHeight="1">
      <c r="A580" s="66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  <c r="AF580" s="54"/>
      <c r="AG580" s="54"/>
    </row>
    <row r="581" ht="14.25" customHeight="1">
      <c r="A581" s="66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  <c r="AF581" s="54"/>
      <c r="AG581" s="54"/>
    </row>
    <row r="582" ht="14.25" customHeight="1">
      <c r="A582" s="66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  <c r="AF582" s="54"/>
      <c r="AG582" s="54"/>
    </row>
    <row r="583" ht="14.25" customHeight="1">
      <c r="A583" s="66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  <c r="AF583" s="54"/>
      <c r="AG583" s="54"/>
    </row>
    <row r="584" ht="14.25" customHeight="1">
      <c r="A584" s="66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  <c r="AF584" s="54"/>
      <c r="AG584" s="54"/>
    </row>
    <row r="585" ht="14.25" customHeight="1">
      <c r="A585" s="66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  <c r="AF585" s="54"/>
      <c r="AG585" s="54"/>
    </row>
    <row r="586" ht="14.25" customHeight="1">
      <c r="A586" s="66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  <c r="AF586" s="54"/>
      <c r="AG586" s="54"/>
    </row>
    <row r="587" ht="14.25" customHeight="1">
      <c r="A587" s="66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  <c r="AE587" s="54"/>
      <c r="AF587" s="54"/>
      <c r="AG587" s="54"/>
    </row>
    <row r="588" ht="14.25" customHeight="1">
      <c r="A588" s="66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  <c r="AE588" s="54"/>
      <c r="AF588" s="54"/>
      <c r="AG588" s="54"/>
    </row>
    <row r="589" ht="14.25" customHeight="1">
      <c r="A589" s="66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  <c r="AE589" s="54"/>
      <c r="AF589" s="54"/>
      <c r="AG589" s="54"/>
    </row>
    <row r="590" ht="14.25" customHeight="1">
      <c r="A590" s="66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  <c r="AC590" s="54"/>
      <c r="AD590" s="54"/>
      <c r="AE590" s="54"/>
      <c r="AF590" s="54"/>
      <c r="AG590" s="54"/>
    </row>
    <row r="591" ht="14.25" customHeight="1">
      <c r="A591" s="66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  <c r="AC591" s="54"/>
      <c r="AD591" s="54"/>
      <c r="AE591" s="54"/>
      <c r="AF591" s="54"/>
      <c r="AG591" s="54"/>
    </row>
    <row r="592" ht="14.25" customHeight="1">
      <c r="A592" s="66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  <c r="AC592" s="54"/>
      <c r="AD592" s="54"/>
      <c r="AE592" s="54"/>
      <c r="AF592" s="54"/>
      <c r="AG592" s="54"/>
    </row>
    <row r="593" ht="14.25" customHeight="1">
      <c r="A593" s="66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  <c r="AC593" s="54"/>
      <c r="AD593" s="54"/>
      <c r="AE593" s="54"/>
      <c r="AF593" s="54"/>
      <c r="AG593" s="54"/>
    </row>
    <row r="594" ht="14.25" customHeight="1">
      <c r="A594" s="66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  <c r="AC594" s="54"/>
      <c r="AD594" s="54"/>
      <c r="AE594" s="54"/>
      <c r="AF594" s="54"/>
      <c r="AG594" s="54"/>
    </row>
    <row r="595" ht="14.25" customHeight="1">
      <c r="A595" s="66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  <c r="AC595" s="54"/>
      <c r="AD595" s="54"/>
      <c r="AE595" s="54"/>
      <c r="AF595" s="54"/>
      <c r="AG595" s="54"/>
    </row>
    <row r="596" ht="14.25" customHeight="1">
      <c r="A596" s="66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  <c r="AC596" s="54"/>
      <c r="AD596" s="54"/>
      <c r="AE596" s="54"/>
      <c r="AF596" s="54"/>
      <c r="AG596" s="54"/>
    </row>
    <row r="597" ht="14.25" customHeight="1">
      <c r="A597" s="66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  <c r="AC597" s="54"/>
      <c r="AD597" s="54"/>
      <c r="AE597" s="54"/>
      <c r="AF597" s="54"/>
      <c r="AG597" s="54"/>
    </row>
    <row r="598" ht="14.25" customHeight="1">
      <c r="A598" s="66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  <c r="AC598" s="54"/>
      <c r="AD598" s="54"/>
      <c r="AE598" s="54"/>
      <c r="AF598" s="54"/>
      <c r="AG598" s="54"/>
    </row>
    <row r="599" ht="14.25" customHeight="1">
      <c r="A599" s="66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  <c r="AC599" s="54"/>
      <c r="AD599" s="54"/>
      <c r="AE599" s="54"/>
      <c r="AF599" s="54"/>
      <c r="AG599" s="54"/>
    </row>
    <row r="600" ht="14.25" customHeight="1">
      <c r="A600" s="66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  <c r="AC600" s="54"/>
      <c r="AD600" s="54"/>
      <c r="AE600" s="54"/>
      <c r="AF600" s="54"/>
      <c r="AG600" s="54"/>
    </row>
    <row r="601" ht="14.25" customHeight="1">
      <c r="A601" s="66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  <c r="AC601" s="54"/>
      <c r="AD601" s="54"/>
      <c r="AE601" s="54"/>
      <c r="AF601" s="54"/>
      <c r="AG601" s="54"/>
    </row>
    <row r="602" ht="14.25" customHeight="1">
      <c r="A602" s="66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  <c r="AC602" s="54"/>
      <c r="AD602" s="54"/>
      <c r="AE602" s="54"/>
      <c r="AF602" s="54"/>
      <c r="AG602" s="54"/>
    </row>
    <row r="603" ht="14.25" customHeight="1">
      <c r="A603" s="66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  <c r="AC603" s="54"/>
      <c r="AD603" s="54"/>
      <c r="AE603" s="54"/>
      <c r="AF603" s="54"/>
      <c r="AG603" s="54"/>
    </row>
    <row r="604" ht="14.25" customHeight="1">
      <c r="A604" s="66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  <c r="AC604" s="54"/>
      <c r="AD604" s="54"/>
      <c r="AE604" s="54"/>
      <c r="AF604" s="54"/>
      <c r="AG604" s="54"/>
    </row>
    <row r="605" ht="14.25" customHeight="1">
      <c r="A605" s="66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  <c r="AC605" s="54"/>
      <c r="AD605" s="54"/>
      <c r="AE605" s="54"/>
      <c r="AF605" s="54"/>
      <c r="AG605" s="54"/>
    </row>
    <row r="606" ht="14.25" customHeight="1">
      <c r="A606" s="66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  <c r="AC606" s="54"/>
      <c r="AD606" s="54"/>
      <c r="AE606" s="54"/>
      <c r="AF606" s="54"/>
      <c r="AG606" s="54"/>
    </row>
    <row r="607" ht="14.25" customHeight="1">
      <c r="A607" s="66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  <c r="AC607" s="54"/>
      <c r="AD607" s="54"/>
      <c r="AE607" s="54"/>
      <c r="AF607" s="54"/>
      <c r="AG607" s="54"/>
    </row>
    <row r="608" ht="14.25" customHeight="1">
      <c r="A608" s="66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  <c r="AC608" s="54"/>
      <c r="AD608" s="54"/>
      <c r="AE608" s="54"/>
      <c r="AF608" s="54"/>
      <c r="AG608" s="54"/>
    </row>
    <row r="609" ht="14.25" customHeight="1">
      <c r="A609" s="66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  <c r="AC609" s="54"/>
      <c r="AD609" s="54"/>
      <c r="AE609" s="54"/>
      <c r="AF609" s="54"/>
      <c r="AG609" s="54"/>
    </row>
    <row r="610" ht="14.25" customHeight="1">
      <c r="A610" s="66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  <c r="AC610" s="54"/>
      <c r="AD610" s="54"/>
      <c r="AE610" s="54"/>
      <c r="AF610" s="54"/>
      <c r="AG610" s="54"/>
    </row>
    <row r="611" ht="14.25" customHeight="1">
      <c r="A611" s="66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  <c r="AC611" s="54"/>
      <c r="AD611" s="54"/>
      <c r="AE611" s="54"/>
      <c r="AF611" s="54"/>
      <c r="AG611" s="54"/>
    </row>
    <row r="612" ht="14.25" customHeight="1">
      <c r="A612" s="66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  <c r="AC612" s="54"/>
      <c r="AD612" s="54"/>
      <c r="AE612" s="54"/>
      <c r="AF612" s="54"/>
      <c r="AG612" s="54"/>
    </row>
    <row r="613" ht="14.25" customHeight="1">
      <c r="A613" s="66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  <c r="AD613" s="54"/>
      <c r="AE613" s="54"/>
      <c r="AF613" s="54"/>
      <c r="AG613" s="54"/>
    </row>
    <row r="614" ht="14.25" customHeight="1">
      <c r="A614" s="66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54"/>
      <c r="AG614" s="54"/>
    </row>
    <row r="615" ht="14.25" customHeight="1">
      <c r="A615" s="66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  <c r="AF615" s="54"/>
      <c r="AG615" s="54"/>
    </row>
    <row r="616" ht="14.25" customHeight="1">
      <c r="A616" s="66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  <c r="AC616" s="54"/>
      <c r="AD616" s="54"/>
      <c r="AE616" s="54"/>
      <c r="AF616" s="54"/>
      <c r="AG616" s="54"/>
    </row>
    <row r="617" ht="14.25" customHeight="1">
      <c r="A617" s="66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  <c r="AF617" s="54"/>
      <c r="AG617" s="54"/>
    </row>
    <row r="618" ht="14.25" customHeight="1">
      <c r="A618" s="66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  <c r="AF618" s="54"/>
      <c r="AG618" s="54"/>
    </row>
    <row r="619" ht="14.25" customHeight="1">
      <c r="A619" s="66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  <c r="AF619" s="54"/>
      <c r="AG619" s="54"/>
    </row>
    <row r="620" ht="14.25" customHeight="1">
      <c r="A620" s="66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  <c r="AE620" s="54"/>
      <c r="AF620" s="54"/>
      <c r="AG620" s="54"/>
    </row>
    <row r="621" ht="14.25" customHeight="1">
      <c r="A621" s="66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  <c r="AF621" s="54"/>
      <c r="AG621" s="54"/>
    </row>
    <row r="622" ht="14.25" customHeight="1">
      <c r="A622" s="66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  <c r="AE622" s="54"/>
      <c r="AF622" s="54"/>
      <c r="AG622" s="54"/>
    </row>
    <row r="623" ht="14.25" customHeight="1">
      <c r="A623" s="66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  <c r="AF623" s="54"/>
      <c r="AG623" s="54"/>
    </row>
    <row r="624" ht="14.25" customHeight="1">
      <c r="A624" s="66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  <c r="AE624" s="54"/>
      <c r="AF624" s="54"/>
      <c r="AG624" s="54"/>
    </row>
    <row r="625" ht="14.25" customHeight="1">
      <c r="A625" s="66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  <c r="AE625" s="54"/>
      <c r="AF625" s="54"/>
      <c r="AG625" s="54"/>
    </row>
    <row r="626" ht="14.25" customHeight="1">
      <c r="A626" s="66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  <c r="AE626" s="54"/>
      <c r="AF626" s="54"/>
      <c r="AG626" s="54"/>
    </row>
    <row r="627" ht="14.25" customHeight="1">
      <c r="A627" s="66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  <c r="AE627" s="54"/>
      <c r="AF627" s="54"/>
      <c r="AG627" s="54"/>
    </row>
    <row r="628" ht="14.25" customHeight="1">
      <c r="A628" s="66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  <c r="AC628" s="54"/>
      <c r="AD628" s="54"/>
      <c r="AE628" s="54"/>
      <c r="AF628" s="54"/>
      <c r="AG628" s="54"/>
    </row>
    <row r="629" ht="14.25" customHeight="1">
      <c r="A629" s="66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  <c r="AC629" s="54"/>
      <c r="AD629" s="54"/>
      <c r="AE629" s="54"/>
      <c r="AF629" s="54"/>
      <c r="AG629" s="54"/>
    </row>
    <row r="630" ht="14.25" customHeight="1">
      <c r="A630" s="66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  <c r="AC630" s="54"/>
      <c r="AD630" s="54"/>
      <c r="AE630" s="54"/>
      <c r="AF630" s="54"/>
      <c r="AG630" s="54"/>
    </row>
    <row r="631" ht="14.25" customHeight="1">
      <c r="A631" s="66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  <c r="AC631" s="54"/>
      <c r="AD631" s="54"/>
      <c r="AE631" s="54"/>
      <c r="AF631" s="54"/>
      <c r="AG631" s="54"/>
    </row>
    <row r="632" ht="14.25" customHeight="1">
      <c r="A632" s="66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  <c r="AC632" s="54"/>
      <c r="AD632" s="54"/>
      <c r="AE632" s="54"/>
      <c r="AF632" s="54"/>
      <c r="AG632" s="54"/>
    </row>
    <row r="633" ht="14.25" customHeight="1">
      <c r="A633" s="66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  <c r="AC633" s="54"/>
      <c r="AD633" s="54"/>
      <c r="AE633" s="54"/>
      <c r="AF633" s="54"/>
      <c r="AG633" s="54"/>
    </row>
    <row r="634" ht="14.25" customHeight="1">
      <c r="A634" s="66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  <c r="AC634" s="54"/>
      <c r="AD634" s="54"/>
      <c r="AE634" s="54"/>
      <c r="AF634" s="54"/>
      <c r="AG634" s="54"/>
    </row>
    <row r="635" ht="14.25" customHeight="1">
      <c r="A635" s="66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  <c r="AC635" s="54"/>
      <c r="AD635" s="54"/>
      <c r="AE635" s="54"/>
      <c r="AF635" s="54"/>
      <c r="AG635" s="54"/>
    </row>
    <row r="636" ht="14.25" customHeight="1">
      <c r="A636" s="66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  <c r="AC636" s="54"/>
      <c r="AD636" s="54"/>
      <c r="AE636" s="54"/>
      <c r="AF636" s="54"/>
      <c r="AG636" s="54"/>
    </row>
    <row r="637" ht="14.25" customHeight="1">
      <c r="A637" s="66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  <c r="AC637" s="54"/>
      <c r="AD637" s="54"/>
      <c r="AE637" s="54"/>
      <c r="AF637" s="54"/>
      <c r="AG637" s="54"/>
    </row>
    <row r="638" ht="14.25" customHeight="1">
      <c r="A638" s="66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  <c r="AC638" s="54"/>
      <c r="AD638" s="54"/>
      <c r="AE638" s="54"/>
      <c r="AF638" s="54"/>
      <c r="AG638" s="54"/>
    </row>
    <row r="639" ht="14.25" customHeight="1">
      <c r="A639" s="66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  <c r="AC639" s="54"/>
      <c r="AD639" s="54"/>
      <c r="AE639" s="54"/>
      <c r="AF639" s="54"/>
      <c r="AG639" s="54"/>
    </row>
    <row r="640" ht="14.25" customHeight="1">
      <c r="A640" s="66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  <c r="AC640" s="54"/>
      <c r="AD640" s="54"/>
      <c r="AE640" s="54"/>
      <c r="AF640" s="54"/>
      <c r="AG640" s="54"/>
    </row>
    <row r="641" ht="14.25" customHeight="1">
      <c r="A641" s="66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  <c r="AC641" s="54"/>
      <c r="AD641" s="54"/>
      <c r="AE641" s="54"/>
      <c r="AF641" s="54"/>
      <c r="AG641" s="54"/>
    </row>
    <row r="642" ht="14.25" customHeight="1">
      <c r="A642" s="66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  <c r="AC642" s="54"/>
      <c r="AD642" s="54"/>
      <c r="AE642" s="54"/>
      <c r="AF642" s="54"/>
      <c r="AG642" s="54"/>
    </row>
    <row r="643" ht="14.25" customHeight="1">
      <c r="A643" s="66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  <c r="AC643" s="54"/>
      <c r="AD643" s="54"/>
      <c r="AE643" s="54"/>
      <c r="AF643" s="54"/>
      <c r="AG643" s="54"/>
    </row>
    <row r="644" ht="14.25" customHeight="1">
      <c r="A644" s="66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  <c r="AC644" s="54"/>
      <c r="AD644" s="54"/>
      <c r="AE644" s="54"/>
      <c r="AF644" s="54"/>
      <c r="AG644" s="54"/>
    </row>
    <row r="645" ht="14.25" customHeight="1">
      <c r="A645" s="66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  <c r="AC645" s="54"/>
      <c r="AD645" s="54"/>
      <c r="AE645" s="54"/>
      <c r="AF645" s="54"/>
      <c r="AG645" s="54"/>
    </row>
    <row r="646" ht="14.25" customHeight="1">
      <c r="A646" s="66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  <c r="AC646" s="54"/>
      <c r="AD646" s="54"/>
      <c r="AE646" s="54"/>
      <c r="AF646" s="54"/>
      <c r="AG646" s="54"/>
    </row>
    <row r="647" ht="14.25" customHeight="1">
      <c r="A647" s="66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  <c r="AC647" s="54"/>
      <c r="AD647" s="54"/>
      <c r="AE647" s="54"/>
      <c r="AF647" s="54"/>
      <c r="AG647" s="54"/>
    </row>
    <row r="648" ht="14.25" customHeight="1">
      <c r="A648" s="66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  <c r="AC648" s="54"/>
      <c r="AD648" s="54"/>
      <c r="AE648" s="54"/>
      <c r="AF648" s="54"/>
      <c r="AG648" s="54"/>
    </row>
    <row r="649" ht="14.25" customHeight="1">
      <c r="A649" s="66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  <c r="AC649" s="54"/>
      <c r="AD649" s="54"/>
      <c r="AE649" s="54"/>
      <c r="AF649" s="54"/>
      <c r="AG649" s="54"/>
    </row>
    <row r="650" ht="14.25" customHeight="1">
      <c r="A650" s="66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  <c r="AC650" s="54"/>
      <c r="AD650" s="54"/>
      <c r="AE650" s="54"/>
      <c r="AF650" s="54"/>
      <c r="AG650" s="54"/>
    </row>
    <row r="651" ht="14.25" customHeight="1">
      <c r="A651" s="66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  <c r="AC651" s="54"/>
      <c r="AD651" s="54"/>
      <c r="AE651" s="54"/>
      <c r="AF651" s="54"/>
      <c r="AG651" s="54"/>
    </row>
    <row r="652" ht="14.25" customHeight="1">
      <c r="A652" s="66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  <c r="AF652" s="54"/>
      <c r="AG652" s="54"/>
    </row>
    <row r="653" ht="14.25" customHeight="1">
      <c r="A653" s="66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  <c r="AF653" s="54"/>
      <c r="AG653" s="54"/>
    </row>
    <row r="654" ht="14.25" customHeight="1">
      <c r="A654" s="66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  <c r="AC654" s="54"/>
      <c r="AD654" s="54"/>
      <c r="AE654" s="54"/>
      <c r="AF654" s="54"/>
      <c r="AG654" s="54"/>
    </row>
    <row r="655" ht="14.25" customHeight="1">
      <c r="A655" s="66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  <c r="AE655" s="54"/>
      <c r="AF655" s="54"/>
      <c r="AG655" s="54"/>
    </row>
    <row r="656" ht="14.25" customHeight="1">
      <c r="A656" s="66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  <c r="AE656" s="54"/>
      <c r="AF656" s="54"/>
      <c r="AG656" s="54"/>
    </row>
    <row r="657" ht="14.25" customHeight="1">
      <c r="A657" s="66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  <c r="AE657" s="54"/>
      <c r="AF657" s="54"/>
      <c r="AG657" s="54"/>
    </row>
    <row r="658" ht="14.25" customHeight="1">
      <c r="A658" s="66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  <c r="AE658" s="54"/>
      <c r="AF658" s="54"/>
      <c r="AG658" s="54"/>
    </row>
    <row r="659" ht="14.25" customHeight="1">
      <c r="A659" s="66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  <c r="AE659" s="54"/>
      <c r="AF659" s="54"/>
      <c r="AG659" s="54"/>
    </row>
    <row r="660" ht="14.25" customHeight="1">
      <c r="A660" s="66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  <c r="AE660" s="54"/>
      <c r="AF660" s="54"/>
      <c r="AG660" s="54"/>
    </row>
    <row r="661" ht="14.25" customHeight="1">
      <c r="A661" s="66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  <c r="AE661" s="54"/>
      <c r="AF661" s="54"/>
      <c r="AG661" s="54"/>
    </row>
    <row r="662" ht="14.25" customHeight="1">
      <c r="A662" s="66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  <c r="AE662" s="54"/>
      <c r="AF662" s="54"/>
      <c r="AG662" s="54"/>
    </row>
    <row r="663" ht="14.25" customHeight="1">
      <c r="A663" s="66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  <c r="AE663" s="54"/>
      <c r="AF663" s="54"/>
      <c r="AG663" s="54"/>
    </row>
    <row r="664" ht="14.25" customHeight="1">
      <c r="A664" s="66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  <c r="AE664" s="54"/>
      <c r="AF664" s="54"/>
      <c r="AG664" s="54"/>
    </row>
    <row r="665" ht="14.25" customHeight="1">
      <c r="A665" s="66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  <c r="AE665" s="54"/>
      <c r="AF665" s="54"/>
      <c r="AG665" s="54"/>
    </row>
    <row r="666" ht="14.25" customHeight="1">
      <c r="A666" s="66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  <c r="AC666" s="54"/>
      <c r="AD666" s="54"/>
      <c r="AE666" s="54"/>
      <c r="AF666" s="54"/>
      <c r="AG666" s="54"/>
    </row>
    <row r="667" ht="14.25" customHeight="1">
      <c r="A667" s="66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  <c r="AC667" s="54"/>
      <c r="AD667" s="54"/>
      <c r="AE667" s="54"/>
      <c r="AF667" s="54"/>
      <c r="AG667" s="54"/>
    </row>
    <row r="668" ht="14.25" customHeight="1">
      <c r="A668" s="66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  <c r="AC668" s="54"/>
      <c r="AD668" s="54"/>
      <c r="AE668" s="54"/>
      <c r="AF668" s="54"/>
      <c r="AG668" s="54"/>
    </row>
    <row r="669" ht="14.25" customHeight="1">
      <c r="A669" s="66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  <c r="AC669" s="54"/>
      <c r="AD669" s="54"/>
      <c r="AE669" s="54"/>
      <c r="AF669" s="54"/>
      <c r="AG669" s="54"/>
    </row>
    <row r="670" ht="14.25" customHeight="1">
      <c r="A670" s="66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  <c r="AC670" s="54"/>
      <c r="AD670" s="54"/>
      <c r="AE670" s="54"/>
      <c r="AF670" s="54"/>
      <c r="AG670" s="54"/>
    </row>
    <row r="671" ht="14.25" customHeight="1">
      <c r="A671" s="66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  <c r="AC671" s="54"/>
      <c r="AD671" s="54"/>
      <c r="AE671" s="54"/>
      <c r="AF671" s="54"/>
      <c r="AG671" s="54"/>
    </row>
    <row r="672" ht="14.25" customHeight="1">
      <c r="A672" s="66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  <c r="AC672" s="54"/>
      <c r="AD672" s="54"/>
      <c r="AE672" s="54"/>
      <c r="AF672" s="54"/>
      <c r="AG672" s="54"/>
    </row>
    <row r="673" ht="14.25" customHeight="1">
      <c r="A673" s="66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  <c r="AC673" s="54"/>
      <c r="AD673" s="54"/>
      <c r="AE673" s="54"/>
      <c r="AF673" s="54"/>
      <c r="AG673" s="54"/>
    </row>
    <row r="674" ht="14.25" customHeight="1">
      <c r="A674" s="66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  <c r="AC674" s="54"/>
      <c r="AD674" s="54"/>
      <c r="AE674" s="54"/>
      <c r="AF674" s="54"/>
      <c r="AG674" s="54"/>
    </row>
    <row r="675" ht="14.25" customHeight="1">
      <c r="A675" s="66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  <c r="AC675" s="54"/>
      <c r="AD675" s="54"/>
      <c r="AE675" s="54"/>
      <c r="AF675" s="54"/>
      <c r="AG675" s="54"/>
    </row>
    <row r="676" ht="14.25" customHeight="1">
      <c r="A676" s="66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  <c r="AC676" s="54"/>
      <c r="AD676" s="54"/>
      <c r="AE676" s="54"/>
      <c r="AF676" s="54"/>
      <c r="AG676" s="54"/>
    </row>
    <row r="677" ht="14.25" customHeight="1">
      <c r="A677" s="66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  <c r="AC677" s="54"/>
      <c r="AD677" s="54"/>
      <c r="AE677" s="54"/>
      <c r="AF677" s="54"/>
      <c r="AG677" s="54"/>
    </row>
    <row r="678" ht="14.25" customHeight="1">
      <c r="A678" s="66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  <c r="AC678" s="54"/>
      <c r="AD678" s="54"/>
      <c r="AE678" s="54"/>
      <c r="AF678" s="54"/>
      <c r="AG678" s="54"/>
    </row>
    <row r="679" ht="14.25" customHeight="1">
      <c r="A679" s="66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  <c r="AC679" s="54"/>
      <c r="AD679" s="54"/>
      <c r="AE679" s="54"/>
      <c r="AF679" s="54"/>
      <c r="AG679" s="54"/>
    </row>
    <row r="680" ht="14.25" customHeight="1">
      <c r="A680" s="66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  <c r="AC680" s="54"/>
      <c r="AD680" s="54"/>
      <c r="AE680" s="54"/>
      <c r="AF680" s="54"/>
      <c r="AG680" s="54"/>
    </row>
    <row r="681" ht="14.25" customHeight="1">
      <c r="A681" s="66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  <c r="AC681" s="54"/>
      <c r="AD681" s="54"/>
      <c r="AE681" s="54"/>
      <c r="AF681" s="54"/>
      <c r="AG681" s="54"/>
    </row>
    <row r="682" ht="14.25" customHeight="1">
      <c r="A682" s="66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  <c r="AC682" s="54"/>
      <c r="AD682" s="54"/>
      <c r="AE682" s="54"/>
      <c r="AF682" s="54"/>
      <c r="AG682" s="54"/>
    </row>
    <row r="683" ht="14.25" customHeight="1">
      <c r="A683" s="66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  <c r="AC683" s="54"/>
      <c r="AD683" s="54"/>
      <c r="AE683" s="54"/>
      <c r="AF683" s="54"/>
      <c r="AG683" s="54"/>
    </row>
    <row r="684" ht="14.25" customHeight="1">
      <c r="A684" s="66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  <c r="AC684" s="54"/>
      <c r="AD684" s="54"/>
      <c r="AE684" s="54"/>
      <c r="AF684" s="54"/>
      <c r="AG684" s="54"/>
    </row>
    <row r="685" ht="14.25" customHeight="1">
      <c r="A685" s="66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  <c r="AC685" s="54"/>
      <c r="AD685" s="54"/>
      <c r="AE685" s="54"/>
      <c r="AF685" s="54"/>
      <c r="AG685" s="54"/>
    </row>
    <row r="686" ht="14.25" customHeight="1">
      <c r="A686" s="66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  <c r="AC686" s="54"/>
      <c r="AD686" s="54"/>
      <c r="AE686" s="54"/>
      <c r="AF686" s="54"/>
      <c r="AG686" s="54"/>
    </row>
    <row r="687" ht="14.25" customHeight="1">
      <c r="A687" s="66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  <c r="AC687" s="54"/>
      <c r="AD687" s="54"/>
      <c r="AE687" s="54"/>
      <c r="AF687" s="54"/>
      <c r="AG687" s="54"/>
    </row>
    <row r="688" ht="14.25" customHeight="1">
      <c r="A688" s="66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  <c r="AC688" s="54"/>
      <c r="AD688" s="54"/>
      <c r="AE688" s="54"/>
      <c r="AF688" s="54"/>
      <c r="AG688" s="54"/>
    </row>
    <row r="689" ht="14.25" customHeight="1">
      <c r="A689" s="66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  <c r="AC689" s="54"/>
      <c r="AD689" s="54"/>
      <c r="AE689" s="54"/>
      <c r="AF689" s="54"/>
      <c r="AG689" s="54"/>
    </row>
    <row r="690" ht="14.25" customHeight="1">
      <c r="A690" s="66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  <c r="AF690" s="54"/>
      <c r="AG690" s="54"/>
    </row>
    <row r="691" ht="14.25" customHeight="1">
      <c r="A691" s="66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  <c r="AE691" s="54"/>
      <c r="AF691" s="54"/>
      <c r="AG691" s="54"/>
    </row>
    <row r="692" ht="14.25" customHeight="1">
      <c r="A692" s="66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  <c r="AC692" s="54"/>
      <c r="AD692" s="54"/>
      <c r="AE692" s="54"/>
      <c r="AF692" s="54"/>
      <c r="AG692" s="54"/>
    </row>
    <row r="693" ht="14.25" customHeight="1">
      <c r="A693" s="66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  <c r="AE693" s="54"/>
      <c r="AF693" s="54"/>
      <c r="AG693" s="54"/>
    </row>
    <row r="694" ht="14.25" customHeight="1">
      <c r="A694" s="66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  <c r="AF694" s="54"/>
      <c r="AG694" s="54"/>
    </row>
    <row r="695" ht="14.25" customHeight="1">
      <c r="A695" s="66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  <c r="AF695" s="54"/>
      <c r="AG695" s="54"/>
    </row>
    <row r="696" ht="14.25" customHeight="1">
      <c r="A696" s="66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  <c r="AE696" s="54"/>
      <c r="AF696" s="54"/>
      <c r="AG696" s="54"/>
    </row>
    <row r="697" ht="14.25" customHeight="1">
      <c r="A697" s="66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  <c r="AE697" s="54"/>
      <c r="AF697" s="54"/>
      <c r="AG697" s="54"/>
    </row>
    <row r="698" ht="14.25" customHeight="1">
      <c r="A698" s="66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  <c r="AE698" s="54"/>
      <c r="AF698" s="54"/>
      <c r="AG698" s="54"/>
    </row>
    <row r="699" ht="14.25" customHeight="1">
      <c r="A699" s="66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  <c r="AE699" s="54"/>
      <c r="AF699" s="54"/>
      <c r="AG699" s="54"/>
    </row>
    <row r="700" ht="14.25" customHeight="1">
      <c r="A700" s="66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  <c r="AE700" s="54"/>
      <c r="AF700" s="54"/>
      <c r="AG700" s="54"/>
    </row>
    <row r="701" ht="14.25" customHeight="1">
      <c r="A701" s="66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  <c r="AE701" s="54"/>
      <c r="AF701" s="54"/>
      <c r="AG701" s="54"/>
    </row>
    <row r="702" ht="14.25" customHeight="1">
      <c r="A702" s="66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  <c r="AE702" s="54"/>
      <c r="AF702" s="54"/>
      <c r="AG702" s="54"/>
    </row>
    <row r="703" ht="14.25" customHeight="1">
      <c r="A703" s="66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  <c r="AE703" s="54"/>
      <c r="AF703" s="54"/>
      <c r="AG703" s="54"/>
    </row>
    <row r="704" ht="14.25" customHeight="1">
      <c r="A704" s="66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  <c r="AC704" s="54"/>
      <c r="AD704" s="54"/>
      <c r="AE704" s="54"/>
      <c r="AF704" s="54"/>
      <c r="AG704" s="54"/>
    </row>
    <row r="705" ht="14.25" customHeight="1">
      <c r="A705" s="66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  <c r="AC705" s="54"/>
      <c r="AD705" s="54"/>
      <c r="AE705" s="54"/>
      <c r="AF705" s="54"/>
      <c r="AG705" s="54"/>
    </row>
    <row r="706" ht="14.25" customHeight="1">
      <c r="A706" s="66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  <c r="AC706" s="54"/>
      <c r="AD706" s="54"/>
      <c r="AE706" s="54"/>
      <c r="AF706" s="54"/>
      <c r="AG706" s="54"/>
    </row>
    <row r="707" ht="14.25" customHeight="1">
      <c r="A707" s="66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  <c r="AC707" s="54"/>
      <c r="AD707" s="54"/>
      <c r="AE707" s="54"/>
      <c r="AF707" s="54"/>
      <c r="AG707" s="54"/>
    </row>
    <row r="708" ht="14.25" customHeight="1">
      <c r="A708" s="66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  <c r="AC708" s="54"/>
      <c r="AD708" s="54"/>
      <c r="AE708" s="54"/>
      <c r="AF708" s="54"/>
      <c r="AG708" s="54"/>
    </row>
    <row r="709" ht="14.25" customHeight="1">
      <c r="A709" s="66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  <c r="AC709" s="54"/>
      <c r="AD709" s="54"/>
      <c r="AE709" s="54"/>
      <c r="AF709" s="54"/>
      <c r="AG709" s="54"/>
    </row>
    <row r="710" ht="14.25" customHeight="1">
      <c r="A710" s="66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  <c r="AC710" s="54"/>
      <c r="AD710" s="54"/>
      <c r="AE710" s="54"/>
      <c r="AF710" s="54"/>
      <c r="AG710" s="54"/>
    </row>
    <row r="711" ht="14.25" customHeight="1">
      <c r="A711" s="66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  <c r="AC711" s="54"/>
      <c r="AD711" s="54"/>
      <c r="AE711" s="54"/>
      <c r="AF711" s="54"/>
      <c r="AG711" s="54"/>
    </row>
    <row r="712" ht="14.25" customHeight="1">
      <c r="A712" s="66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  <c r="AC712" s="54"/>
      <c r="AD712" s="54"/>
      <c r="AE712" s="54"/>
      <c r="AF712" s="54"/>
      <c r="AG712" s="54"/>
    </row>
    <row r="713" ht="14.25" customHeight="1">
      <c r="A713" s="66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  <c r="AC713" s="54"/>
      <c r="AD713" s="54"/>
      <c r="AE713" s="54"/>
      <c r="AF713" s="54"/>
      <c r="AG713" s="54"/>
    </row>
    <row r="714" ht="14.25" customHeight="1">
      <c r="A714" s="66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  <c r="AC714" s="54"/>
      <c r="AD714" s="54"/>
      <c r="AE714" s="54"/>
      <c r="AF714" s="54"/>
      <c r="AG714" s="54"/>
    </row>
    <row r="715" ht="14.25" customHeight="1">
      <c r="A715" s="66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  <c r="AC715" s="54"/>
      <c r="AD715" s="54"/>
      <c r="AE715" s="54"/>
      <c r="AF715" s="54"/>
      <c r="AG715" s="54"/>
    </row>
    <row r="716" ht="14.25" customHeight="1">
      <c r="A716" s="66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  <c r="AC716" s="54"/>
      <c r="AD716" s="54"/>
      <c r="AE716" s="54"/>
      <c r="AF716" s="54"/>
      <c r="AG716" s="54"/>
    </row>
    <row r="717" ht="14.25" customHeight="1">
      <c r="A717" s="66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  <c r="AC717" s="54"/>
      <c r="AD717" s="54"/>
      <c r="AE717" s="54"/>
      <c r="AF717" s="54"/>
      <c r="AG717" s="54"/>
    </row>
    <row r="718" ht="14.25" customHeight="1">
      <c r="A718" s="66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  <c r="AC718" s="54"/>
      <c r="AD718" s="54"/>
      <c r="AE718" s="54"/>
      <c r="AF718" s="54"/>
      <c r="AG718" s="54"/>
    </row>
    <row r="719" ht="14.25" customHeight="1">
      <c r="A719" s="66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  <c r="AC719" s="54"/>
      <c r="AD719" s="54"/>
      <c r="AE719" s="54"/>
      <c r="AF719" s="54"/>
      <c r="AG719" s="54"/>
    </row>
    <row r="720" ht="14.25" customHeight="1">
      <c r="A720" s="66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  <c r="AC720" s="54"/>
      <c r="AD720" s="54"/>
      <c r="AE720" s="54"/>
      <c r="AF720" s="54"/>
      <c r="AG720" s="54"/>
    </row>
    <row r="721" ht="14.25" customHeight="1">
      <c r="A721" s="66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  <c r="AB721" s="54"/>
      <c r="AC721" s="54"/>
      <c r="AD721" s="54"/>
      <c r="AE721" s="54"/>
      <c r="AF721" s="54"/>
      <c r="AG721" s="54"/>
    </row>
    <row r="722" ht="14.25" customHeight="1">
      <c r="A722" s="66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  <c r="AC722" s="54"/>
      <c r="AD722" s="54"/>
      <c r="AE722" s="54"/>
      <c r="AF722" s="54"/>
      <c r="AG722" s="54"/>
    </row>
    <row r="723" ht="14.25" customHeight="1">
      <c r="A723" s="66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  <c r="AC723" s="54"/>
      <c r="AD723" s="54"/>
      <c r="AE723" s="54"/>
      <c r="AF723" s="54"/>
      <c r="AG723" s="54"/>
    </row>
    <row r="724" ht="14.25" customHeight="1">
      <c r="A724" s="66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  <c r="AB724" s="54"/>
      <c r="AC724" s="54"/>
      <c r="AD724" s="54"/>
      <c r="AE724" s="54"/>
      <c r="AF724" s="54"/>
      <c r="AG724" s="54"/>
    </row>
    <row r="725" ht="14.25" customHeight="1">
      <c r="A725" s="66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  <c r="AC725" s="54"/>
      <c r="AD725" s="54"/>
      <c r="AE725" s="54"/>
      <c r="AF725" s="54"/>
      <c r="AG725" s="54"/>
    </row>
    <row r="726" ht="14.25" customHeight="1">
      <c r="A726" s="66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  <c r="AC726" s="54"/>
      <c r="AD726" s="54"/>
      <c r="AE726" s="54"/>
      <c r="AF726" s="54"/>
      <c r="AG726" s="54"/>
    </row>
    <row r="727" ht="14.25" customHeight="1">
      <c r="A727" s="66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  <c r="AC727" s="54"/>
      <c r="AD727" s="54"/>
      <c r="AE727" s="54"/>
      <c r="AF727" s="54"/>
      <c r="AG727" s="54"/>
    </row>
    <row r="728" ht="14.25" customHeight="1">
      <c r="A728" s="66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  <c r="AE728" s="54"/>
      <c r="AF728" s="54"/>
      <c r="AG728" s="54"/>
    </row>
    <row r="729" ht="14.25" customHeight="1">
      <c r="A729" s="66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  <c r="AE729" s="54"/>
      <c r="AF729" s="54"/>
      <c r="AG729" s="54"/>
    </row>
    <row r="730" ht="14.25" customHeight="1">
      <c r="A730" s="66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  <c r="AC730" s="54"/>
      <c r="AD730" s="54"/>
      <c r="AE730" s="54"/>
      <c r="AF730" s="54"/>
      <c r="AG730" s="54"/>
    </row>
    <row r="731" ht="14.25" customHeight="1">
      <c r="A731" s="66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  <c r="AE731" s="54"/>
      <c r="AF731" s="54"/>
      <c r="AG731" s="54"/>
    </row>
    <row r="732" ht="14.25" customHeight="1">
      <c r="A732" s="66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  <c r="AE732" s="54"/>
      <c r="AF732" s="54"/>
      <c r="AG732" s="54"/>
    </row>
    <row r="733" ht="14.25" customHeight="1">
      <c r="A733" s="66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  <c r="AE733" s="54"/>
      <c r="AF733" s="54"/>
      <c r="AG733" s="54"/>
    </row>
    <row r="734" ht="14.25" customHeight="1">
      <c r="A734" s="66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  <c r="AE734" s="54"/>
      <c r="AF734" s="54"/>
      <c r="AG734" s="54"/>
    </row>
    <row r="735" ht="14.25" customHeight="1">
      <c r="A735" s="66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  <c r="AE735" s="54"/>
      <c r="AF735" s="54"/>
      <c r="AG735" s="54"/>
    </row>
    <row r="736" ht="14.25" customHeight="1">
      <c r="A736" s="66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  <c r="AE736" s="54"/>
      <c r="AF736" s="54"/>
      <c r="AG736" s="54"/>
    </row>
    <row r="737" ht="14.25" customHeight="1">
      <c r="A737" s="66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  <c r="AE737" s="54"/>
      <c r="AF737" s="54"/>
      <c r="AG737" s="54"/>
    </row>
    <row r="738" ht="14.25" customHeight="1">
      <c r="A738" s="66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  <c r="AE738" s="54"/>
      <c r="AF738" s="54"/>
      <c r="AG738" s="54"/>
    </row>
    <row r="739" ht="14.25" customHeight="1">
      <c r="A739" s="66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  <c r="AE739" s="54"/>
      <c r="AF739" s="54"/>
      <c r="AG739" s="54"/>
    </row>
    <row r="740" ht="14.25" customHeight="1">
      <c r="A740" s="66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  <c r="AE740" s="54"/>
      <c r="AF740" s="54"/>
      <c r="AG740" s="54"/>
    </row>
    <row r="741" ht="14.25" customHeight="1">
      <c r="A741" s="66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  <c r="AE741" s="54"/>
      <c r="AF741" s="54"/>
      <c r="AG741" s="54"/>
    </row>
    <row r="742" ht="14.25" customHeight="1">
      <c r="A742" s="66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  <c r="AC742" s="54"/>
      <c r="AD742" s="54"/>
      <c r="AE742" s="54"/>
      <c r="AF742" s="54"/>
      <c r="AG742" s="54"/>
    </row>
    <row r="743" ht="14.25" customHeight="1">
      <c r="A743" s="66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  <c r="AC743" s="54"/>
      <c r="AD743" s="54"/>
      <c r="AE743" s="54"/>
      <c r="AF743" s="54"/>
      <c r="AG743" s="54"/>
    </row>
    <row r="744" ht="14.25" customHeight="1">
      <c r="A744" s="66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  <c r="AC744" s="54"/>
      <c r="AD744" s="54"/>
      <c r="AE744" s="54"/>
      <c r="AF744" s="54"/>
      <c r="AG744" s="54"/>
    </row>
    <row r="745" ht="14.25" customHeight="1">
      <c r="A745" s="66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  <c r="AB745" s="54"/>
      <c r="AC745" s="54"/>
      <c r="AD745" s="54"/>
      <c r="AE745" s="54"/>
      <c r="AF745" s="54"/>
      <c r="AG745" s="54"/>
    </row>
    <row r="746" ht="14.25" customHeight="1">
      <c r="A746" s="66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  <c r="AB746" s="54"/>
      <c r="AC746" s="54"/>
      <c r="AD746" s="54"/>
      <c r="AE746" s="54"/>
      <c r="AF746" s="54"/>
      <c r="AG746" s="54"/>
    </row>
    <row r="747" ht="14.25" customHeight="1">
      <c r="A747" s="66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  <c r="AB747" s="54"/>
      <c r="AC747" s="54"/>
      <c r="AD747" s="54"/>
      <c r="AE747" s="54"/>
      <c r="AF747" s="54"/>
      <c r="AG747" s="54"/>
    </row>
    <row r="748" ht="14.25" customHeight="1">
      <c r="A748" s="66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  <c r="AB748" s="54"/>
      <c r="AC748" s="54"/>
      <c r="AD748" s="54"/>
      <c r="AE748" s="54"/>
      <c r="AF748" s="54"/>
      <c r="AG748" s="54"/>
    </row>
    <row r="749" ht="14.25" customHeight="1">
      <c r="A749" s="66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  <c r="AC749" s="54"/>
      <c r="AD749" s="54"/>
      <c r="AE749" s="54"/>
      <c r="AF749" s="54"/>
      <c r="AG749" s="54"/>
    </row>
    <row r="750" ht="14.25" customHeight="1">
      <c r="A750" s="66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  <c r="AC750" s="54"/>
      <c r="AD750" s="54"/>
      <c r="AE750" s="54"/>
      <c r="AF750" s="54"/>
      <c r="AG750" s="54"/>
    </row>
    <row r="751" ht="14.25" customHeight="1">
      <c r="A751" s="66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  <c r="AB751" s="54"/>
      <c r="AC751" s="54"/>
      <c r="AD751" s="54"/>
      <c r="AE751" s="54"/>
      <c r="AF751" s="54"/>
      <c r="AG751" s="54"/>
    </row>
    <row r="752" ht="14.25" customHeight="1">
      <c r="A752" s="66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  <c r="AB752" s="54"/>
      <c r="AC752" s="54"/>
      <c r="AD752" s="54"/>
      <c r="AE752" s="54"/>
      <c r="AF752" s="54"/>
      <c r="AG752" s="54"/>
    </row>
    <row r="753" ht="14.25" customHeight="1">
      <c r="A753" s="66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  <c r="AC753" s="54"/>
      <c r="AD753" s="54"/>
      <c r="AE753" s="54"/>
      <c r="AF753" s="54"/>
      <c r="AG753" s="54"/>
    </row>
    <row r="754" ht="14.25" customHeight="1">
      <c r="A754" s="66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  <c r="AC754" s="54"/>
      <c r="AD754" s="54"/>
      <c r="AE754" s="54"/>
      <c r="AF754" s="54"/>
      <c r="AG754" s="54"/>
    </row>
    <row r="755" ht="14.25" customHeight="1">
      <c r="A755" s="66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  <c r="AC755" s="54"/>
      <c r="AD755" s="54"/>
      <c r="AE755" s="54"/>
      <c r="AF755" s="54"/>
      <c r="AG755" s="54"/>
    </row>
    <row r="756" ht="14.25" customHeight="1">
      <c r="A756" s="66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  <c r="AC756" s="54"/>
      <c r="AD756" s="54"/>
      <c r="AE756" s="54"/>
      <c r="AF756" s="54"/>
      <c r="AG756" s="54"/>
    </row>
    <row r="757" ht="14.25" customHeight="1">
      <c r="A757" s="66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  <c r="AB757" s="54"/>
      <c r="AC757" s="54"/>
      <c r="AD757" s="54"/>
      <c r="AE757" s="54"/>
      <c r="AF757" s="54"/>
      <c r="AG757" s="54"/>
    </row>
    <row r="758" ht="14.25" customHeight="1">
      <c r="A758" s="66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  <c r="AB758" s="54"/>
      <c r="AC758" s="54"/>
      <c r="AD758" s="54"/>
      <c r="AE758" s="54"/>
      <c r="AF758" s="54"/>
      <c r="AG758" s="54"/>
    </row>
    <row r="759" ht="14.25" customHeight="1">
      <c r="A759" s="66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  <c r="AC759" s="54"/>
      <c r="AD759" s="54"/>
      <c r="AE759" s="54"/>
      <c r="AF759" s="54"/>
      <c r="AG759" s="54"/>
    </row>
    <row r="760" ht="14.25" customHeight="1">
      <c r="A760" s="66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  <c r="AC760" s="54"/>
      <c r="AD760" s="54"/>
      <c r="AE760" s="54"/>
      <c r="AF760" s="54"/>
      <c r="AG760" s="54"/>
    </row>
    <row r="761" ht="14.25" customHeight="1">
      <c r="A761" s="66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  <c r="AC761" s="54"/>
      <c r="AD761" s="54"/>
      <c r="AE761" s="54"/>
      <c r="AF761" s="54"/>
      <c r="AG761" s="54"/>
    </row>
    <row r="762" ht="14.25" customHeight="1">
      <c r="A762" s="66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  <c r="AB762" s="54"/>
      <c r="AC762" s="54"/>
      <c r="AD762" s="54"/>
      <c r="AE762" s="54"/>
      <c r="AF762" s="54"/>
      <c r="AG762" s="54"/>
    </row>
    <row r="763" ht="14.25" customHeight="1">
      <c r="A763" s="66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  <c r="AC763" s="54"/>
      <c r="AD763" s="54"/>
      <c r="AE763" s="54"/>
      <c r="AF763" s="54"/>
      <c r="AG763" s="54"/>
    </row>
    <row r="764" ht="14.25" customHeight="1">
      <c r="A764" s="66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  <c r="AC764" s="54"/>
      <c r="AD764" s="54"/>
      <c r="AE764" s="54"/>
      <c r="AF764" s="54"/>
      <c r="AG764" s="54"/>
    </row>
    <row r="765" ht="14.25" customHeight="1">
      <c r="A765" s="66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  <c r="AC765" s="54"/>
      <c r="AD765" s="54"/>
      <c r="AE765" s="54"/>
      <c r="AF765" s="54"/>
      <c r="AG765" s="54"/>
    </row>
    <row r="766" ht="14.25" customHeight="1">
      <c r="A766" s="66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  <c r="AE766" s="54"/>
      <c r="AF766" s="54"/>
      <c r="AG766" s="54"/>
    </row>
    <row r="767" ht="14.25" customHeight="1">
      <c r="A767" s="66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  <c r="AE767" s="54"/>
      <c r="AF767" s="54"/>
      <c r="AG767" s="54"/>
    </row>
    <row r="768" ht="14.25" customHeight="1">
      <c r="A768" s="66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  <c r="AB768" s="54"/>
      <c r="AC768" s="54"/>
      <c r="AD768" s="54"/>
      <c r="AE768" s="54"/>
      <c r="AF768" s="54"/>
      <c r="AG768" s="54"/>
    </row>
    <row r="769" ht="14.25" customHeight="1">
      <c r="A769" s="66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  <c r="AE769" s="54"/>
      <c r="AF769" s="54"/>
      <c r="AG769" s="54"/>
    </row>
    <row r="770" ht="14.25" customHeight="1">
      <c r="A770" s="66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  <c r="AE770" s="54"/>
      <c r="AF770" s="54"/>
      <c r="AG770" s="54"/>
    </row>
    <row r="771" ht="14.25" customHeight="1">
      <c r="A771" s="66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  <c r="AE771" s="54"/>
      <c r="AF771" s="54"/>
      <c r="AG771" s="54"/>
    </row>
    <row r="772" ht="14.25" customHeight="1">
      <c r="A772" s="66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  <c r="AE772" s="54"/>
      <c r="AF772" s="54"/>
      <c r="AG772" s="54"/>
    </row>
    <row r="773" ht="14.25" customHeight="1">
      <c r="A773" s="66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  <c r="AE773" s="54"/>
      <c r="AF773" s="54"/>
      <c r="AG773" s="54"/>
    </row>
    <row r="774" ht="14.25" customHeight="1">
      <c r="A774" s="66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  <c r="AE774" s="54"/>
      <c r="AF774" s="54"/>
      <c r="AG774" s="54"/>
    </row>
    <row r="775" ht="14.25" customHeight="1">
      <c r="A775" s="66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  <c r="AE775" s="54"/>
      <c r="AF775" s="54"/>
      <c r="AG775" s="54"/>
    </row>
    <row r="776" ht="14.25" customHeight="1">
      <c r="A776" s="66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  <c r="AE776" s="54"/>
      <c r="AF776" s="54"/>
      <c r="AG776" s="54"/>
    </row>
    <row r="777" ht="14.25" customHeight="1">
      <c r="A777" s="66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  <c r="AE777" s="54"/>
      <c r="AF777" s="54"/>
      <c r="AG777" s="54"/>
    </row>
    <row r="778" ht="14.25" customHeight="1">
      <c r="A778" s="66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  <c r="AE778" s="54"/>
      <c r="AF778" s="54"/>
      <c r="AG778" s="54"/>
    </row>
    <row r="779" ht="14.25" customHeight="1">
      <c r="A779" s="66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  <c r="AE779" s="54"/>
      <c r="AF779" s="54"/>
      <c r="AG779" s="54"/>
    </row>
    <row r="780" ht="14.25" customHeight="1">
      <c r="A780" s="66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  <c r="AC780" s="54"/>
      <c r="AD780" s="54"/>
      <c r="AE780" s="54"/>
      <c r="AF780" s="54"/>
      <c r="AG780" s="54"/>
    </row>
    <row r="781" ht="14.25" customHeight="1">
      <c r="A781" s="66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  <c r="AC781" s="54"/>
      <c r="AD781" s="54"/>
      <c r="AE781" s="54"/>
      <c r="AF781" s="54"/>
      <c r="AG781" s="54"/>
    </row>
    <row r="782" ht="14.25" customHeight="1">
      <c r="A782" s="66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  <c r="AC782" s="54"/>
      <c r="AD782" s="54"/>
      <c r="AE782" s="54"/>
      <c r="AF782" s="54"/>
      <c r="AG782" s="54"/>
    </row>
    <row r="783" ht="14.25" customHeight="1">
      <c r="A783" s="66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  <c r="AB783" s="54"/>
      <c r="AC783" s="54"/>
      <c r="AD783" s="54"/>
      <c r="AE783" s="54"/>
      <c r="AF783" s="54"/>
      <c r="AG783" s="54"/>
    </row>
    <row r="784" ht="14.25" customHeight="1">
      <c r="A784" s="66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  <c r="AC784" s="54"/>
      <c r="AD784" s="54"/>
      <c r="AE784" s="54"/>
      <c r="AF784" s="54"/>
      <c r="AG784" s="54"/>
    </row>
    <row r="785" ht="14.25" customHeight="1">
      <c r="A785" s="66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  <c r="AC785" s="54"/>
      <c r="AD785" s="54"/>
      <c r="AE785" s="54"/>
      <c r="AF785" s="54"/>
      <c r="AG785" s="54"/>
    </row>
    <row r="786" ht="14.25" customHeight="1">
      <c r="A786" s="66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  <c r="AC786" s="54"/>
      <c r="AD786" s="54"/>
      <c r="AE786" s="54"/>
      <c r="AF786" s="54"/>
      <c r="AG786" s="54"/>
    </row>
    <row r="787" ht="14.25" customHeight="1">
      <c r="A787" s="66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  <c r="AC787" s="54"/>
      <c r="AD787" s="54"/>
      <c r="AE787" s="54"/>
      <c r="AF787" s="54"/>
      <c r="AG787" s="54"/>
    </row>
    <row r="788" ht="14.25" customHeight="1">
      <c r="A788" s="66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  <c r="AB788" s="54"/>
      <c r="AC788" s="54"/>
      <c r="AD788" s="54"/>
      <c r="AE788" s="54"/>
      <c r="AF788" s="54"/>
      <c r="AG788" s="54"/>
    </row>
    <row r="789" ht="14.25" customHeight="1">
      <c r="A789" s="66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  <c r="AB789" s="54"/>
      <c r="AC789" s="54"/>
      <c r="AD789" s="54"/>
      <c r="AE789" s="54"/>
      <c r="AF789" s="54"/>
      <c r="AG789" s="54"/>
    </row>
    <row r="790" ht="14.25" customHeight="1">
      <c r="A790" s="66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  <c r="AC790" s="54"/>
      <c r="AD790" s="54"/>
      <c r="AE790" s="54"/>
      <c r="AF790" s="54"/>
      <c r="AG790" s="54"/>
    </row>
    <row r="791" ht="14.25" customHeight="1">
      <c r="A791" s="66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  <c r="AB791" s="54"/>
      <c r="AC791" s="54"/>
      <c r="AD791" s="54"/>
      <c r="AE791" s="54"/>
      <c r="AF791" s="54"/>
      <c r="AG791" s="54"/>
    </row>
    <row r="792" ht="14.25" customHeight="1">
      <c r="A792" s="66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  <c r="AC792" s="54"/>
      <c r="AD792" s="54"/>
      <c r="AE792" s="54"/>
      <c r="AF792" s="54"/>
      <c r="AG792" s="54"/>
    </row>
    <row r="793" ht="14.25" customHeight="1">
      <c r="A793" s="66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  <c r="AC793" s="54"/>
      <c r="AD793" s="54"/>
      <c r="AE793" s="54"/>
      <c r="AF793" s="54"/>
      <c r="AG793" s="54"/>
    </row>
    <row r="794" ht="14.25" customHeight="1">
      <c r="A794" s="66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  <c r="AC794" s="54"/>
      <c r="AD794" s="54"/>
      <c r="AE794" s="54"/>
      <c r="AF794" s="54"/>
      <c r="AG794" s="54"/>
    </row>
    <row r="795" ht="14.25" customHeight="1">
      <c r="A795" s="66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  <c r="AC795" s="54"/>
      <c r="AD795" s="54"/>
      <c r="AE795" s="54"/>
      <c r="AF795" s="54"/>
      <c r="AG795" s="54"/>
    </row>
    <row r="796" ht="14.25" customHeight="1">
      <c r="A796" s="66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  <c r="AB796" s="54"/>
      <c r="AC796" s="54"/>
      <c r="AD796" s="54"/>
      <c r="AE796" s="54"/>
      <c r="AF796" s="54"/>
      <c r="AG796" s="54"/>
    </row>
    <row r="797" ht="14.25" customHeight="1">
      <c r="A797" s="66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  <c r="AB797" s="54"/>
      <c r="AC797" s="54"/>
      <c r="AD797" s="54"/>
      <c r="AE797" s="54"/>
      <c r="AF797" s="54"/>
      <c r="AG797" s="54"/>
    </row>
    <row r="798" ht="14.25" customHeight="1">
      <c r="A798" s="66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  <c r="AB798" s="54"/>
      <c r="AC798" s="54"/>
      <c r="AD798" s="54"/>
      <c r="AE798" s="54"/>
      <c r="AF798" s="54"/>
      <c r="AG798" s="54"/>
    </row>
    <row r="799" ht="14.25" customHeight="1">
      <c r="A799" s="66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  <c r="AC799" s="54"/>
      <c r="AD799" s="54"/>
      <c r="AE799" s="54"/>
      <c r="AF799" s="54"/>
      <c r="AG799" s="54"/>
    </row>
    <row r="800" ht="14.25" customHeight="1">
      <c r="A800" s="66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  <c r="AB800" s="54"/>
      <c r="AC800" s="54"/>
      <c r="AD800" s="54"/>
      <c r="AE800" s="54"/>
      <c r="AF800" s="54"/>
      <c r="AG800" s="54"/>
    </row>
    <row r="801" ht="14.25" customHeight="1">
      <c r="A801" s="66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  <c r="AC801" s="54"/>
      <c r="AD801" s="54"/>
      <c r="AE801" s="54"/>
      <c r="AF801" s="54"/>
      <c r="AG801" s="54"/>
    </row>
    <row r="802" ht="14.25" customHeight="1">
      <c r="A802" s="66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  <c r="AB802" s="54"/>
      <c r="AC802" s="54"/>
      <c r="AD802" s="54"/>
      <c r="AE802" s="54"/>
      <c r="AF802" s="54"/>
      <c r="AG802" s="54"/>
    </row>
    <row r="803" ht="14.25" customHeight="1">
      <c r="A803" s="66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  <c r="AB803" s="54"/>
      <c r="AC803" s="54"/>
      <c r="AD803" s="54"/>
      <c r="AE803" s="54"/>
      <c r="AF803" s="54"/>
      <c r="AG803" s="54"/>
    </row>
    <row r="804" ht="14.25" customHeight="1">
      <c r="A804" s="66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  <c r="AE804" s="54"/>
      <c r="AF804" s="54"/>
      <c r="AG804" s="54"/>
    </row>
    <row r="805" ht="14.25" customHeight="1">
      <c r="A805" s="66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  <c r="AE805" s="54"/>
      <c r="AF805" s="54"/>
      <c r="AG805" s="54"/>
    </row>
    <row r="806" ht="14.25" customHeight="1">
      <c r="A806" s="66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  <c r="AC806" s="54"/>
      <c r="AD806" s="54"/>
      <c r="AE806" s="54"/>
      <c r="AF806" s="54"/>
      <c r="AG806" s="54"/>
    </row>
    <row r="807" ht="14.25" customHeight="1">
      <c r="A807" s="66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  <c r="AE807" s="54"/>
      <c r="AF807" s="54"/>
      <c r="AG807" s="54"/>
    </row>
    <row r="808" ht="14.25" customHeight="1">
      <c r="A808" s="66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  <c r="AE808" s="54"/>
      <c r="AF808" s="54"/>
      <c r="AG808" s="54"/>
    </row>
    <row r="809" ht="14.25" customHeight="1">
      <c r="A809" s="66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  <c r="AE809" s="54"/>
      <c r="AF809" s="54"/>
      <c r="AG809" s="54"/>
    </row>
    <row r="810" ht="14.25" customHeight="1">
      <c r="A810" s="66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  <c r="AE810" s="54"/>
      <c r="AF810" s="54"/>
      <c r="AG810" s="54"/>
    </row>
    <row r="811" ht="14.25" customHeight="1">
      <c r="A811" s="66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  <c r="AE811" s="54"/>
      <c r="AF811" s="54"/>
      <c r="AG811" s="54"/>
    </row>
    <row r="812" ht="14.25" customHeight="1">
      <c r="A812" s="66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  <c r="AE812" s="54"/>
      <c r="AF812" s="54"/>
      <c r="AG812" s="54"/>
    </row>
    <row r="813" ht="14.25" customHeight="1">
      <c r="A813" s="66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  <c r="AE813" s="54"/>
      <c r="AF813" s="54"/>
      <c r="AG813" s="54"/>
    </row>
    <row r="814" ht="14.25" customHeight="1">
      <c r="A814" s="66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  <c r="AE814" s="54"/>
      <c r="AF814" s="54"/>
      <c r="AG814" s="54"/>
    </row>
    <row r="815" ht="14.25" customHeight="1">
      <c r="A815" s="66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  <c r="AE815" s="54"/>
      <c r="AF815" s="54"/>
      <c r="AG815" s="54"/>
    </row>
    <row r="816" ht="14.25" customHeight="1">
      <c r="A816" s="66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  <c r="AE816" s="54"/>
      <c r="AF816" s="54"/>
      <c r="AG816" s="54"/>
    </row>
    <row r="817" ht="14.25" customHeight="1">
      <c r="A817" s="66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  <c r="AE817" s="54"/>
      <c r="AF817" s="54"/>
      <c r="AG817" s="54"/>
    </row>
    <row r="818" ht="14.25" customHeight="1">
      <c r="A818" s="66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  <c r="AC818" s="54"/>
      <c r="AD818" s="54"/>
      <c r="AE818" s="54"/>
      <c r="AF818" s="54"/>
      <c r="AG818" s="54"/>
    </row>
    <row r="819" ht="14.25" customHeight="1">
      <c r="A819" s="66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  <c r="AC819" s="54"/>
      <c r="AD819" s="54"/>
      <c r="AE819" s="54"/>
      <c r="AF819" s="54"/>
      <c r="AG819" s="54"/>
    </row>
    <row r="820" ht="14.25" customHeight="1">
      <c r="A820" s="66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  <c r="AB820" s="54"/>
      <c r="AC820" s="54"/>
      <c r="AD820" s="54"/>
      <c r="AE820" s="54"/>
      <c r="AF820" s="54"/>
      <c r="AG820" s="54"/>
    </row>
    <row r="821" ht="14.25" customHeight="1">
      <c r="A821" s="66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  <c r="AC821" s="54"/>
      <c r="AD821" s="54"/>
      <c r="AE821" s="54"/>
      <c r="AF821" s="54"/>
      <c r="AG821" s="54"/>
    </row>
    <row r="822" ht="14.25" customHeight="1">
      <c r="A822" s="66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  <c r="AB822" s="54"/>
      <c r="AC822" s="54"/>
      <c r="AD822" s="54"/>
      <c r="AE822" s="54"/>
      <c r="AF822" s="54"/>
      <c r="AG822" s="54"/>
    </row>
    <row r="823" ht="14.25" customHeight="1">
      <c r="A823" s="66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  <c r="AC823" s="54"/>
      <c r="AD823" s="54"/>
      <c r="AE823" s="54"/>
      <c r="AF823" s="54"/>
      <c r="AG823" s="54"/>
    </row>
    <row r="824" ht="14.25" customHeight="1">
      <c r="A824" s="66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  <c r="AB824" s="54"/>
      <c r="AC824" s="54"/>
      <c r="AD824" s="54"/>
      <c r="AE824" s="54"/>
      <c r="AF824" s="54"/>
      <c r="AG824" s="54"/>
    </row>
    <row r="825" ht="14.25" customHeight="1">
      <c r="A825" s="66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  <c r="AC825" s="54"/>
      <c r="AD825" s="54"/>
      <c r="AE825" s="54"/>
      <c r="AF825" s="54"/>
      <c r="AG825" s="54"/>
    </row>
    <row r="826" ht="14.25" customHeight="1">
      <c r="A826" s="66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  <c r="AC826" s="54"/>
      <c r="AD826" s="54"/>
      <c r="AE826" s="54"/>
      <c r="AF826" s="54"/>
      <c r="AG826" s="54"/>
    </row>
    <row r="827" ht="14.25" customHeight="1">
      <c r="A827" s="66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  <c r="AC827" s="54"/>
      <c r="AD827" s="54"/>
      <c r="AE827" s="54"/>
      <c r="AF827" s="54"/>
      <c r="AG827" s="54"/>
    </row>
    <row r="828" ht="14.25" customHeight="1">
      <c r="A828" s="66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  <c r="AB828" s="54"/>
      <c r="AC828" s="54"/>
      <c r="AD828" s="54"/>
      <c r="AE828" s="54"/>
      <c r="AF828" s="54"/>
      <c r="AG828" s="54"/>
    </row>
    <row r="829" ht="14.25" customHeight="1">
      <c r="A829" s="66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  <c r="AB829" s="54"/>
      <c r="AC829" s="54"/>
      <c r="AD829" s="54"/>
      <c r="AE829" s="54"/>
      <c r="AF829" s="54"/>
      <c r="AG829" s="54"/>
    </row>
    <row r="830" ht="14.25" customHeight="1">
      <c r="A830" s="66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  <c r="AC830" s="54"/>
      <c r="AD830" s="54"/>
      <c r="AE830" s="54"/>
      <c r="AF830" s="54"/>
      <c r="AG830" s="54"/>
    </row>
    <row r="831" ht="14.25" customHeight="1">
      <c r="A831" s="66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  <c r="AC831" s="54"/>
      <c r="AD831" s="54"/>
      <c r="AE831" s="54"/>
      <c r="AF831" s="54"/>
      <c r="AG831" s="54"/>
    </row>
    <row r="832" ht="14.25" customHeight="1">
      <c r="A832" s="66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  <c r="AC832" s="54"/>
      <c r="AD832" s="54"/>
      <c r="AE832" s="54"/>
      <c r="AF832" s="54"/>
      <c r="AG832" s="54"/>
    </row>
    <row r="833" ht="14.25" customHeight="1">
      <c r="A833" s="66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  <c r="AB833" s="54"/>
      <c r="AC833" s="54"/>
      <c r="AD833" s="54"/>
      <c r="AE833" s="54"/>
      <c r="AF833" s="54"/>
      <c r="AG833" s="54"/>
    </row>
    <row r="834" ht="14.25" customHeight="1">
      <c r="A834" s="66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  <c r="AC834" s="54"/>
      <c r="AD834" s="54"/>
      <c r="AE834" s="54"/>
      <c r="AF834" s="54"/>
      <c r="AG834" s="54"/>
    </row>
    <row r="835" ht="14.25" customHeight="1">
      <c r="A835" s="66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  <c r="AB835" s="54"/>
      <c r="AC835" s="54"/>
      <c r="AD835" s="54"/>
      <c r="AE835" s="54"/>
      <c r="AF835" s="54"/>
      <c r="AG835" s="54"/>
    </row>
    <row r="836" ht="14.25" customHeight="1">
      <c r="A836" s="66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  <c r="AC836" s="54"/>
      <c r="AD836" s="54"/>
      <c r="AE836" s="54"/>
      <c r="AF836" s="54"/>
      <c r="AG836" s="54"/>
    </row>
    <row r="837" ht="14.25" customHeight="1">
      <c r="A837" s="66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  <c r="AC837" s="54"/>
      <c r="AD837" s="54"/>
      <c r="AE837" s="54"/>
      <c r="AF837" s="54"/>
      <c r="AG837" s="54"/>
    </row>
    <row r="838" ht="14.25" customHeight="1">
      <c r="A838" s="66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  <c r="AC838" s="54"/>
      <c r="AD838" s="54"/>
      <c r="AE838" s="54"/>
      <c r="AF838" s="54"/>
      <c r="AG838" s="54"/>
    </row>
    <row r="839" ht="14.25" customHeight="1">
      <c r="A839" s="66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  <c r="AC839" s="54"/>
      <c r="AD839" s="54"/>
      <c r="AE839" s="54"/>
      <c r="AF839" s="54"/>
      <c r="AG839" s="54"/>
    </row>
    <row r="840" ht="14.25" customHeight="1">
      <c r="A840" s="66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  <c r="AC840" s="54"/>
      <c r="AD840" s="54"/>
      <c r="AE840" s="54"/>
      <c r="AF840" s="54"/>
      <c r="AG840" s="54"/>
    </row>
    <row r="841" ht="14.25" customHeight="1">
      <c r="A841" s="66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  <c r="AB841" s="54"/>
      <c r="AC841" s="54"/>
      <c r="AD841" s="54"/>
      <c r="AE841" s="54"/>
      <c r="AF841" s="54"/>
      <c r="AG841" s="54"/>
    </row>
    <row r="842" ht="14.25" customHeight="1">
      <c r="A842" s="66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  <c r="AE842" s="54"/>
      <c r="AF842" s="54"/>
      <c r="AG842" s="54"/>
    </row>
    <row r="843" ht="14.25" customHeight="1">
      <c r="A843" s="66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  <c r="AE843" s="54"/>
      <c r="AF843" s="54"/>
      <c r="AG843" s="54"/>
    </row>
    <row r="844" ht="14.25" customHeight="1">
      <c r="A844" s="66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  <c r="AC844" s="54"/>
      <c r="AD844" s="54"/>
      <c r="AE844" s="54"/>
      <c r="AF844" s="54"/>
      <c r="AG844" s="54"/>
    </row>
    <row r="845" ht="14.25" customHeight="1">
      <c r="A845" s="66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  <c r="AE845" s="54"/>
      <c r="AF845" s="54"/>
      <c r="AG845" s="54"/>
    </row>
    <row r="846" ht="14.25" customHeight="1">
      <c r="A846" s="66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  <c r="AE846" s="54"/>
      <c r="AF846" s="54"/>
      <c r="AG846" s="54"/>
    </row>
    <row r="847" ht="14.25" customHeight="1">
      <c r="A847" s="66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  <c r="AE847" s="54"/>
      <c r="AF847" s="54"/>
      <c r="AG847" s="54"/>
    </row>
    <row r="848" ht="14.25" customHeight="1">
      <c r="A848" s="66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  <c r="AE848" s="54"/>
      <c r="AF848" s="54"/>
      <c r="AG848" s="54"/>
    </row>
    <row r="849" ht="14.25" customHeight="1">
      <c r="A849" s="66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  <c r="AE849" s="54"/>
      <c r="AF849" s="54"/>
      <c r="AG849" s="54"/>
    </row>
    <row r="850" ht="14.25" customHeight="1">
      <c r="A850" s="66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  <c r="AE850" s="54"/>
      <c r="AF850" s="54"/>
      <c r="AG850" s="54"/>
    </row>
    <row r="851" ht="14.25" customHeight="1">
      <c r="A851" s="66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  <c r="AF851" s="54"/>
      <c r="AG851" s="54"/>
    </row>
    <row r="852" ht="14.25" customHeight="1">
      <c r="A852" s="66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  <c r="AE852" s="54"/>
      <c r="AF852" s="54"/>
      <c r="AG852" s="54"/>
    </row>
    <row r="853" ht="14.25" customHeight="1">
      <c r="A853" s="66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  <c r="AE853" s="54"/>
      <c r="AF853" s="54"/>
      <c r="AG853" s="54"/>
    </row>
    <row r="854" ht="14.25" customHeight="1">
      <c r="A854" s="66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  <c r="AE854" s="54"/>
      <c r="AF854" s="54"/>
      <c r="AG854" s="54"/>
    </row>
    <row r="855" ht="14.25" customHeight="1">
      <c r="A855" s="66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  <c r="AE855" s="54"/>
      <c r="AF855" s="54"/>
      <c r="AG855" s="54"/>
    </row>
    <row r="856" ht="14.25" customHeight="1">
      <c r="A856" s="66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  <c r="AC856" s="54"/>
      <c r="AD856" s="54"/>
      <c r="AE856" s="54"/>
      <c r="AF856" s="54"/>
      <c r="AG856" s="54"/>
    </row>
    <row r="857" ht="14.25" customHeight="1">
      <c r="A857" s="66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  <c r="AC857" s="54"/>
      <c r="AD857" s="54"/>
      <c r="AE857" s="54"/>
      <c r="AF857" s="54"/>
      <c r="AG857" s="54"/>
    </row>
    <row r="858" ht="14.25" customHeight="1">
      <c r="A858" s="66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  <c r="AC858" s="54"/>
      <c r="AD858" s="54"/>
      <c r="AE858" s="54"/>
      <c r="AF858" s="54"/>
      <c r="AG858" s="54"/>
    </row>
    <row r="859" ht="14.25" customHeight="1">
      <c r="A859" s="66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  <c r="AC859" s="54"/>
      <c r="AD859" s="54"/>
      <c r="AE859" s="54"/>
      <c r="AF859" s="54"/>
      <c r="AG859" s="54"/>
    </row>
    <row r="860" ht="14.25" customHeight="1">
      <c r="A860" s="66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  <c r="AC860" s="54"/>
      <c r="AD860" s="54"/>
      <c r="AE860" s="54"/>
      <c r="AF860" s="54"/>
      <c r="AG860" s="54"/>
    </row>
    <row r="861" ht="14.25" customHeight="1">
      <c r="A861" s="66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  <c r="AC861" s="54"/>
      <c r="AD861" s="54"/>
      <c r="AE861" s="54"/>
      <c r="AF861" s="54"/>
      <c r="AG861" s="54"/>
    </row>
    <row r="862" ht="14.25" customHeight="1">
      <c r="A862" s="66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  <c r="AB862" s="54"/>
      <c r="AC862" s="54"/>
      <c r="AD862" s="54"/>
      <c r="AE862" s="54"/>
      <c r="AF862" s="54"/>
      <c r="AG862" s="54"/>
    </row>
    <row r="863" ht="14.25" customHeight="1">
      <c r="A863" s="66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  <c r="AC863" s="54"/>
      <c r="AD863" s="54"/>
      <c r="AE863" s="54"/>
      <c r="AF863" s="54"/>
      <c r="AG863" s="54"/>
    </row>
    <row r="864" ht="14.25" customHeight="1">
      <c r="A864" s="66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  <c r="AC864" s="54"/>
      <c r="AD864" s="54"/>
      <c r="AE864" s="54"/>
      <c r="AF864" s="54"/>
      <c r="AG864" s="54"/>
    </row>
    <row r="865" ht="14.25" customHeight="1">
      <c r="A865" s="66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  <c r="AC865" s="54"/>
      <c r="AD865" s="54"/>
      <c r="AE865" s="54"/>
      <c r="AF865" s="54"/>
      <c r="AG865" s="54"/>
    </row>
    <row r="866" ht="14.25" customHeight="1">
      <c r="A866" s="66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  <c r="AC866" s="54"/>
      <c r="AD866" s="54"/>
      <c r="AE866" s="54"/>
      <c r="AF866" s="54"/>
      <c r="AG866" s="54"/>
    </row>
    <row r="867" ht="14.25" customHeight="1">
      <c r="A867" s="66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  <c r="AC867" s="54"/>
      <c r="AD867" s="54"/>
      <c r="AE867" s="54"/>
      <c r="AF867" s="54"/>
      <c r="AG867" s="54"/>
    </row>
    <row r="868" ht="14.25" customHeight="1">
      <c r="A868" s="66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  <c r="AC868" s="54"/>
      <c r="AD868" s="54"/>
      <c r="AE868" s="54"/>
      <c r="AF868" s="54"/>
      <c r="AG868" s="54"/>
    </row>
    <row r="869" ht="14.25" customHeight="1">
      <c r="A869" s="66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  <c r="AC869" s="54"/>
      <c r="AD869" s="54"/>
      <c r="AE869" s="54"/>
      <c r="AF869" s="54"/>
      <c r="AG869" s="54"/>
    </row>
    <row r="870" ht="14.25" customHeight="1">
      <c r="A870" s="66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  <c r="AC870" s="54"/>
      <c r="AD870" s="54"/>
      <c r="AE870" s="54"/>
      <c r="AF870" s="54"/>
      <c r="AG870" s="54"/>
    </row>
    <row r="871" ht="14.25" customHeight="1">
      <c r="A871" s="66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  <c r="AC871" s="54"/>
      <c r="AD871" s="54"/>
      <c r="AE871" s="54"/>
      <c r="AF871" s="54"/>
      <c r="AG871" s="54"/>
    </row>
    <row r="872" ht="14.25" customHeight="1">
      <c r="A872" s="66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  <c r="AC872" s="54"/>
      <c r="AD872" s="54"/>
      <c r="AE872" s="54"/>
      <c r="AF872" s="54"/>
      <c r="AG872" s="54"/>
    </row>
    <row r="873" ht="14.25" customHeight="1">
      <c r="A873" s="66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  <c r="AC873" s="54"/>
      <c r="AD873" s="54"/>
      <c r="AE873" s="54"/>
      <c r="AF873" s="54"/>
      <c r="AG873" s="54"/>
    </row>
    <row r="874" ht="14.25" customHeight="1">
      <c r="A874" s="66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  <c r="AB874" s="54"/>
      <c r="AC874" s="54"/>
      <c r="AD874" s="54"/>
      <c r="AE874" s="54"/>
      <c r="AF874" s="54"/>
      <c r="AG874" s="54"/>
    </row>
    <row r="875" ht="14.25" customHeight="1">
      <c r="A875" s="66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  <c r="AB875" s="54"/>
      <c r="AC875" s="54"/>
      <c r="AD875" s="54"/>
      <c r="AE875" s="54"/>
      <c r="AF875" s="54"/>
      <c r="AG875" s="54"/>
    </row>
    <row r="876" ht="14.25" customHeight="1">
      <c r="A876" s="66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  <c r="AB876" s="54"/>
      <c r="AC876" s="54"/>
      <c r="AD876" s="54"/>
      <c r="AE876" s="54"/>
      <c r="AF876" s="54"/>
      <c r="AG876" s="54"/>
    </row>
    <row r="877" ht="14.25" customHeight="1">
      <c r="A877" s="66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  <c r="AC877" s="54"/>
      <c r="AD877" s="54"/>
      <c r="AE877" s="54"/>
      <c r="AF877" s="54"/>
      <c r="AG877" s="54"/>
    </row>
    <row r="878" ht="14.25" customHeight="1">
      <c r="A878" s="66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  <c r="AB878" s="54"/>
      <c r="AC878" s="54"/>
      <c r="AD878" s="54"/>
      <c r="AE878" s="54"/>
      <c r="AF878" s="54"/>
      <c r="AG878" s="54"/>
    </row>
    <row r="879" ht="14.25" customHeight="1">
      <c r="A879" s="66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  <c r="AB879" s="54"/>
      <c r="AC879" s="54"/>
      <c r="AD879" s="54"/>
      <c r="AE879" s="54"/>
      <c r="AF879" s="54"/>
      <c r="AG879" s="54"/>
    </row>
    <row r="880" ht="14.25" customHeight="1">
      <c r="A880" s="66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  <c r="AE880" s="54"/>
      <c r="AF880" s="54"/>
      <c r="AG880" s="54"/>
    </row>
    <row r="881" ht="14.25" customHeight="1">
      <c r="A881" s="66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  <c r="AE881" s="54"/>
      <c r="AF881" s="54"/>
      <c r="AG881" s="54"/>
    </row>
    <row r="882" ht="14.25" customHeight="1">
      <c r="A882" s="66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  <c r="AC882" s="54"/>
      <c r="AD882" s="54"/>
      <c r="AE882" s="54"/>
      <c r="AF882" s="54"/>
      <c r="AG882" s="54"/>
    </row>
    <row r="883" ht="14.25" customHeight="1">
      <c r="A883" s="66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  <c r="AE883" s="54"/>
      <c r="AF883" s="54"/>
      <c r="AG883" s="54"/>
    </row>
    <row r="884" ht="14.25" customHeight="1">
      <c r="A884" s="66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  <c r="AE884" s="54"/>
      <c r="AF884" s="54"/>
      <c r="AG884" s="54"/>
    </row>
    <row r="885" ht="14.25" customHeight="1">
      <c r="A885" s="66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  <c r="AE885" s="54"/>
      <c r="AF885" s="54"/>
      <c r="AG885" s="54"/>
    </row>
    <row r="886" ht="14.25" customHeight="1">
      <c r="A886" s="66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  <c r="AE886" s="54"/>
      <c r="AF886" s="54"/>
      <c r="AG886" s="54"/>
    </row>
    <row r="887" ht="14.25" customHeight="1">
      <c r="A887" s="66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  <c r="AE887" s="54"/>
      <c r="AF887" s="54"/>
      <c r="AG887" s="54"/>
    </row>
    <row r="888" ht="14.25" customHeight="1">
      <c r="A888" s="66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  <c r="AE888" s="54"/>
      <c r="AF888" s="54"/>
      <c r="AG888" s="54"/>
    </row>
    <row r="889" ht="14.25" customHeight="1">
      <c r="A889" s="66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  <c r="AE889" s="54"/>
      <c r="AF889" s="54"/>
      <c r="AG889" s="54"/>
    </row>
    <row r="890" ht="14.25" customHeight="1">
      <c r="A890" s="66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  <c r="AE890" s="54"/>
      <c r="AF890" s="54"/>
      <c r="AG890" s="54"/>
    </row>
    <row r="891" ht="14.25" customHeight="1">
      <c r="A891" s="66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  <c r="AE891" s="54"/>
      <c r="AF891" s="54"/>
      <c r="AG891" s="54"/>
    </row>
    <row r="892" ht="14.25" customHeight="1">
      <c r="A892" s="66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  <c r="AE892" s="54"/>
      <c r="AF892" s="54"/>
      <c r="AG892" s="54"/>
    </row>
    <row r="893" ht="14.25" customHeight="1">
      <c r="A893" s="66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  <c r="AE893" s="54"/>
      <c r="AF893" s="54"/>
      <c r="AG893" s="54"/>
    </row>
    <row r="894" ht="14.25" customHeight="1">
      <c r="A894" s="66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  <c r="AC894" s="54"/>
      <c r="AD894" s="54"/>
      <c r="AE894" s="54"/>
      <c r="AF894" s="54"/>
      <c r="AG894" s="54"/>
    </row>
    <row r="895" ht="14.25" customHeight="1">
      <c r="A895" s="66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  <c r="AC895" s="54"/>
      <c r="AD895" s="54"/>
      <c r="AE895" s="54"/>
      <c r="AF895" s="54"/>
      <c r="AG895" s="54"/>
    </row>
    <row r="896" ht="14.25" customHeight="1">
      <c r="A896" s="66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  <c r="AC896" s="54"/>
      <c r="AD896" s="54"/>
      <c r="AE896" s="54"/>
      <c r="AF896" s="54"/>
      <c r="AG896" s="54"/>
    </row>
    <row r="897" ht="14.25" customHeight="1">
      <c r="A897" s="66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  <c r="AC897" s="54"/>
      <c r="AD897" s="54"/>
      <c r="AE897" s="54"/>
      <c r="AF897" s="54"/>
      <c r="AG897" s="54"/>
    </row>
    <row r="898" ht="14.25" customHeight="1">
      <c r="A898" s="66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  <c r="AC898" s="54"/>
      <c r="AD898" s="54"/>
      <c r="AE898" s="54"/>
      <c r="AF898" s="54"/>
      <c r="AG898" s="54"/>
    </row>
    <row r="899" ht="14.25" customHeight="1">
      <c r="A899" s="66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  <c r="AC899" s="54"/>
      <c r="AD899" s="54"/>
      <c r="AE899" s="54"/>
      <c r="AF899" s="54"/>
      <c r="AG899" s="54"/>
    </row>
    <row r="900" ht="14.25" customHeight="1">
      <c r="A900" s="66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  <c r="AB900" s="54"/>
      <c r="AC900" s="54"/>
      <c r="AD900" s="54"/>
      <c r="AE900" s="54"/>
      <c r="AF900" s="54"/>
      <c r="AG900" s="54"/>
    </row>
    <row r="901" ht="14.25" customHeight="1">
      <c r="A901" s="66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  <c r="AC901" s="54"/>
      <c r="AD901" s="54"/>
      <c r="AE901" s="54"/>
      <c r="AF901" s="54"/>
      <c r="AG901" s="54"/>
    </row>
    <row r="902" ht="14.25" customHeight="1">
      <c r="A902" s="66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  <c r="AC902" s="54"/>
      <c r="AD902" s="54"/>
      <c r="AE902" s="54"/>
      <c r="AF902" s="54"/>
      <c r="AG902" s="54"/>
    </row>
    <row r="903" ht="14.25" customHeight="1">
      <c r="A903" s="66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  <c r="AC903" s="54"/>
      <c r="AD903" s="54"/>
      <c r="AE903" s="54"/>
      <c r="AF903" s="54"/>
      <c r="AG903" s="54"/>
    </row>
    <row r="904" ht="14.25" customHeight="1">
      <c r="A904" s="66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  <c r="AC904" s="54"/>
      <c r="AD904" s="54"/>
      <c r="AE904" s="54"/>
      <c r="AF904" s="54"/>
      <c r="AG904" s="54"/>
    </row>
    <row r="905" ht="14.25" customHeight="1">
      <c r="A905" s="66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  <c r="AC905" s="54"/>
      <c r="AD905" s="54"/>
      <c r="AE905" s="54"/>
      <c r="AF905" s="54"/>
      <c r="AG905" s="54"/>
    </row>
    <row r="906" ht="14.25" customHeight="1">
      <c r="A906" s="66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  <c r="AC906" s="54"/>
      <c r="AD906" s="54"/>
      <c r="AE906" s="54"/>
      <c r="AF906" s="54"/>
      <c r="AG906" s="54"/>
    </row>
    <row r="907" ht="14.25" customHeight="1">
      <c r="A907" s="66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  <c r="AC907" s="54"/>
      <c r="AD907" s="54"/>
      <c r="AE907" s="54"/>
      <c r="AF907" s="54"/>
      <c r="AG907" s="54"/>
    </row>
    <row r="908" ht="14.25" customHeight="1">
      <c r="A908" s="66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  <c r="AB908" s="54"/>
      <c r="AC908" s="54"/>
      <c r="AD908" s="54"/>
      <c r="AE908" s="54"/>
      <c r="AF908" s="54"/>
      <c r="AG908" s="54"/>
    </row>
    <row r="909" ht="14.25" customHeight="1">
      <c r="A909" s="66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  <c r="AB909" s="54"/>
      <c r="AC909" s="54"/>
      <c r="AD909" s="54"/>
      <c r="AE909" s="54"/>
      <c r="AF909" s="54"/>
      <c r="AG909" s="54"/>
    </row>
    <row r="910" ht="14.25" customHeight="1">
      <c r="A910" s="66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  <c r="AC910" s="54"/>
      <c r="AD910" s="54"/>
      <c r="AE910" s="54"/>
      <c r="AF910" s="54"/>
      <c r="AG910" s="54"/>
    </row>
    <row r="911" ht="14.25" customHeight="1">
      <c r="A911" s="66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  <c r="AB911" s="54"/>
      <c r="AC911" s="54"/>
      <c r="AD911" s="54"/>
      <c r="AE911" s="54"/>
      <c r="AF911" s="54"/>
      <c r="AG911" s="54"/>
    </row>
    <row r="912" ht="14.25" customHeight="1">
      <c r="A912" s="66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  <c r="AC912" s="54"/>
      <c r="AD912" s="54"/>
      <c r="AE912" s="54"/>
      <c r="AF912" s="54"/>
      <c r="AG912" s="54"/>
    </row>
    <row r="913" ht="14.25" customHeight="1">
      <c r="A913" s="66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  <c r="AC913" s="54"/>
      <c r="AD913" s="54"/>
      <c r="AE913" s="54"/>
      <c r="AF913" s="54"/>
      <c r="AG913" s="54"/>
    </row>
    <row r="914" ht="14.25" customHeight="1">
      <c r="A914" s="66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  <c r="AC914" s="54"/>
      <c r="AD914" s="54"/>
      <c r="AE914" s="54"/>
      <c r="AF914" s="54"/>
      <c r="AG914" s="54"/>
    </row>
    <row r="915" ht="14.25" customHeight="1">
      <c r="A915" s="66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  <c r="AB915" s="54"/>
      <c r="AC915" s="54"/>
      <c r="AD915" s="54"/>
      <c r="AE915" s="54"/>
      <c r="AF915" s="54"/>
      <c r="AG915" s="54"/>
    </row>
    <row r="916" ht="14.25" customHeight="1">
      <c r="A916" s="66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  <c r="AC916" s="54"/>
      <c r="AD916" s="54"/>
      <c r="AE916" s="54"/>
      <c r="AF916" s="54"/>
      <c r="AG916" s="54"/>
    </row>
    <row r="917" ht="14.25" customHeight="1">
      <c r="A917" s="66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  <c r="AB917" s="54"/>
      <c r="AC917" s="54"/>
      <c r="AD917" s="54"/>
      <c r="AE917" s="54"/>
      <c r="AF917" s="54"/>
      <c r="AG917" s="54"/>
    </row>
    <row r="918" ht="14.25" customHeight="1">
      <c r="A918" s="66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  <c r="AE918" s="54"/>
      <c r="AF918" s="54"/>
      <c r="AG918" s="54"/>
    </row>
    <row r="919" ht="14.25" customHeight="1">
      <c r="A919" s="66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  <c r="AE919" s="54"/>
      <c r="AF919" s="54"/>
      <c r="AG919" s="54"/>
    </row>
    <row r="920" ht="14.25" customHeight="1">
      <c r="A920" s="66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  <c r="AC920" s="54"/>
      <c r="AD920" s="54"/>
      <c r="AE920" s="54"/>
      <c r="AF920" s="54"/>
      <c r="AG920" s="54"/>
    </row>
    <row r="921" ht="14.25" customHeight="1">
      <c r="A921" s="66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  <c r="AE921" s="54"/>
      <c r="AF921" s="54"/>
      <c r="AG921" s="54"/>
    </row>
    <row r="922" ht="14.25" customHeight="1">
      <c r="A922" s="66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  <c r="AE922" s="54"/>
      <c r="AF922" s="54"/>
      <c r="AG922" s="54"/>
    </row>
    <row r="923" ht="14.25" customHeight="1">
      <c r="A923" s="66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  <c r="AE923" s="54"/>
      <c r="AF923" s="54"/>
      <c r="AG923" s="54"/>
    </row>
    <row r="924" ht="14.25" customHeight="1">
      <c r="A924" s="66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  <c r="AE924" s="54"/>
      <c r="AF924" s="54"/>
      <c r="AG924" s="54"/>
    </row>
    <row r="925" ht="14.25" customHeight="1">
      <c r="A925" s="66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  <c r="AE925" s="54"/>
      <c r="AF925" s="54"/>
      <c r="AG925" s="54"/>
    </row>
    <row r="926" ht="14.25" customHeight="1">
      <c r="A926" s="66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  <c r="AE926" s="54"/>
      <c r="AF926" s="54"/>
      <c r="AG926" s="54"/>
    </row>
    <row r="927" ht="14.25" customHeight="1">
      <c r="A927" s="66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  <c r="AE927" s="54"/>
      <c r="AF927" s="54"/>
      <c r="AG927" s="54"/>
    </row>
    <row r="928" ht="14.25" customHeight="1">
      <c r="A928" s="66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  <c r="AE928" s="54"/>
      <c r="AF928" s="54"/>
      <c r="AG928" s="54"/>
    </row>
    <row r="929" ht="14.25" customHeight="1">
      <c r="A929" s="66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  <c r="AE929" s="54"/>
      <c r="AF929" s="54"/>
      <c r="AG929" s="54"/>
    </row>
    <row r="930" ht="14.25" customHeight="1">
      <c r="A930" s="66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  <c r="AE930" s="54"/>
      <c r="AF930" s="54"/>
      <c r="AG930" s="54"/>
    </row>
    <row r="931" ht="14.25" customHeight="1">
      <c r="A931" s="66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  <c r="AE931" s="54"/>
      <c r="AF931" s="54"/>
      <c r="AG931" s="54"/>
    </row>
    <row r="932" ht="14.25" customHeight="1">
      <c r="A932" s="66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  <c r="AC932" s="54"/>
      <c r="AD932" s="54"/>
      <c r="AE932" s="54"/>
      <c r="AF932" s="54"/>
      <c r="AG932" s="54"/>
    </row>
    <row r="933" ht="14.25" customHeight="1">
      <c r="A933" s="66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  <c r="AC933" s="54"/>
      <c r="AD933" s="54"/>
      <c r="AE933" s="54"/>
      <c r="AF933" s="54"/>
      <c r="AG933" s="54"/>
    </row>
    <row r="934" ht="14.25" customHeight="1">
      <c r="A934" s="66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  <c r="AC934" s="54"/>
      <c r="AD934" s="54"/>
      <c r="AE934" s="54"/>
      <c r="AF934" s="54"/>
      <c r="AG934" s="54"/>
    </row>
    <row r="935" ht="14.25" customHeight="1">
      <c r="A935" s="66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  <c r="AC935" s="54"/>
      <c r="AD935" s="54"/>
      <c r="AE935" s="54"/>
      <c r="AF935" s="54"/>
      <c r="AG935" s="54"/>
    </row>
    <row r="936" ht="14.25" customHeight="1">
      <c r="A936" s="66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  <c r="AC936" s="54"/>
      <c r="AD936" s="54"/>
      <c r="AE936" s="54"/>
      <c r="AF936" s="54"/>
      <c r="AG936" s="54"/>
    </row>
    <row r="937" ht="14.25" customHeight="1">
      <c r="A937" s="66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  <c r="AC937" s="54"/>
      <c r="AD937" s="54"/>
      <c r="AE937" s="54"/>
      <c r="AF937" s="54"/>
      <c r="AG937" s="54"/>
    </row>
    <row r="938" ht="14.25" customHeight="1">
      <c r="A938" s="66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  <c r="AC938" s="54"/>
      <c r="AD938" s="54"/>
      <c r="AE938" s="54"/>
      <c r="AF938" s="54"/>
      <c r="AG938" s="54"/>
    </row>
    <row r="939" ht="14.25" customHeight="1">
      <c r="A939" s="66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  <c r="AC939" s="54"/>
      <c r="AD939" s="54"/>
      <c r="AE939" s="54"/>
      <c r="AF939" s="54"/>
      <c r="AG939" s="54"/>
    </row>
    <row r="940" ht="14.25" customHeight="1">
      <c r="A940" s="66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  <c r="AB940" s="54"/>
      <c r="AC940" s="54"/>
      <c r="AD940" s="54"/>
      <c r="AE940" s="54"/>
      <c r="AF940" s="54"/>
      <c r="AG940" s="54"/>
    </row>
    <row r="941" ht="14.25" customHeight="1">
      <c r="A941" s="66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  <c r="AB941" s="54"/>
      <c r="AC941" s="54"/>
      <c r="AD941" s="54"/>
      <c r="AE941" s="54"/>
      <c r="AF941" s="54"/>
      <c r="AG941" s="54"/>
    </row>
    <row r="942" ht="14.25" customHeight="1">
      <c r="A942" s="66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  <c r="AB942" s="54"/>
      <c r="AC942" s="54"/>
      <c r="AD942" s="54"/>
      <c r="AE942" s="54"/>
      <c r="AF942" s="54"/>
      <c r="AG942" s="54"/>
    </row>
    <row r="943" ht="14.25" customHeight="1">
      <c r="A943" s="66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  <c r="AB943" s="54"/>
      <c r="AC943" s="54"/>
      <c r="AD943" s="54"/>
      <c r="AE943" s="54"/>
      <c r="AF943" s="54"/>
      <c r="AG943" s="54"/>
    </row>
    <row r="944" ht="14.25" customHeight="1">
      <c r="A944" s="66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  <c r="AC944" s="54"/>
      <c r="AD944" s="54"/>
      <c r="AE944" s="54"/>
      <c r="AF944" s="54"/>
      <c r="AG944" s="54"/>
    </row>
    <row r="945" ht="14.25" customHeight="1">
      <c r="A945" s="66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  <c r="AB945" s="54"/>
      <c r="AC945" s="54"/>
      <c r="AD945" s="54"/>
      <c r="AE945" s="54"/>
      <c r="AF945" s="54"/>
      <c r="AG945" s="54"/>
    </row>
    <row r="946" ht="14.25" customHeight="1">
      <c r="A946" s="66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  <c r="AC946" s="54"/>
      <c r="AD946" s="54"/>
      <c r="AE946" s="54"/>
      <c r="AF946" s="54"/>
      <c r="AG946" s="54"/>
    </row>
    <row r="947" ht="14.25" customHeight="1">
      <c r="A947" s="66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  <c r="AB947" s="54"/>
      <c r="AC947" s="54"/>
      <c r="AD947" s="54"/>
      <c r="AE947" s="54"/>
      <c r="AF947" s="54"/>
      <c r="AG947" s="54"/>
    </row>
    <row r="948" ht="14.25" customHeight="1">
      <c r="A948" s="66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  <c r="AB948" s="54"/>
      <c r="AC948" s="54"/>
      <c r="AD948" s="54"/>
      <c r="AE948" s="54"/>
      <c r="AF948" s="54"/>
      <c r="AG948" s="54"/>
    </row>
    <row r="949" ht="14.25" customHeight="1">
      <c r="A949" s="66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  <c r="AC949" s="54"/>
      <c r="AD949" s="54"/>
      <c r="AE949" s="54"/>
      <c r="AF949" s="54"/>
      <c r="AG949" s="54"/>
    </row>
    <row r="950" ht="14.25" customHeight="1">
      <c r="A950" s="66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  <c r="AB950" s="54"/>
      <c r="AC950" s="54"/>
      <c r="AD950" s="54"/>
      <c r="AE950" s="54"/>
      <c r="AF950" s="54"/>
      <c r="AG950" s="54"/>
    </row>
    <row r="951" ht="14.25" customHeight="1">
      <c r="A951" s="66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  <c r="AC951" s="54"/>
      <c r="AD951" s="54"/>
      <c r="AE951" s="54"/>
      <c r="AF951" s="54"/>
      <c r="AG951" s="54"/>
    </row>
    <row r="952" ht="14.25" customHeight="1">
      <c r="A952" s="66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  <c r="AB952" s="54"/>
      <c r="AC952" s="54"/>
      <c r="AD952" s="54"/>
      <c r="AE952" s="54"/>
      <c r="AF952" s="54"/>
      <c r="AG952" s="54"/>
    </row>
    <row r="953" ht="14.25" customHeight="1">
      <c r="A953" s="66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  <c r="AC953" s="54"/>
      <c r="AD953" s="54"/>
      <c r="AE953" s="54"/>
      <c r="AF953" s="54"/>
      <c r="AG953" s="54"/>
    </row>
    <row r="954" ht="14.25" customHeight="1">
      <c r="A954" s="66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  <c r="AB954" s="54"/>
      <c r="AC954" s="54"/>
      <c r="AD954" s="54"/>
      <c r="AE954" s="54"/>
      <c r="AF954" s="54"/>
      <c r="AG954" s="54"/>
    </row>
    <row r="955" ht="14.25" customHeight="1">
      <c r="A955" s="66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  <c r="AB955" s="54"/>
      <c r="AC955" s="54"/>
      <c r="AD955" s="54"/>
      <c r="AE955" s="54"/>
      <c r="AF955" s="54"/>
      <c r="AG955" s="54"/>
    </row>
    <row r="956" ht="14.25" customHeight="1">
      <c r="A956" s="66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  <c r="AE956" s="54"/>
      <c r="AF956" s="54"/>
      <c r="AG956" s="54"/>
    </row>
    <row r="957" ht="14.25" customHeight="1">
      <c r="A957" s="66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  <c r="AE957" s="54"/>
      <c r="AF957" s="54"/>
      <c r="AG957" s="54"/>
    </row>
    <row r="958" ht="14.25" customHeight="1">
      <c r="A958" s="66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  <c r="AB958" s="54"/>
      <c r="AC958" s="54"/>
      <c r="AD958" s="54"/>
      <c r="AE958" s="54"/>
      <c r="AF958" s="54"/>
      <c r="AG958" s="54"/>
    </row>
    <row r="959" ht="14.25" customHeight="1">
      <c r="A959" s="66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  <c r="AE959" s="54"/>
      <c r="AF959" s="54"/>
      <c r="AG959" s="54"/>
    </row>
    <row r="960" ht="14.25" customHeight="1">
      <c r="A960" s="66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  <c r="AE960" s="54"/>
      <c r="AF960" s="54"/>
      <c r="AG960" s="54"/>
    </row>
    <row r="961" ht="14.25" customHeight="1">
      <c r="A961" s="66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  <c r="AE961" s="54"/>
      <c r="AF961" s="54"/>
      <c r="AG961" s="54"/>
    </row>
    <row r="962" ht="14.25" customHeight="1">
      <c r="A962" s="66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  <c r="AE962" s="54"/>
      <c r="AF962" s="54"/>
      <c r="AG962" s="54"/>
    </row>
    <row r="963" ht="14.25" customHeight="1">
      <c r="A963" s="66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  <c r="AE963" s="54"/>
      <c r="AF963" s="54"/>
      <c r="AG963" s="54"/>
    </row>
    <row r="964" ht="14.25" customHeight="1">
      <c r="A964" s="66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  <c r="AE964" s="54"/>
      <c r="AF964" s="54"/>
      <c r="AG964" s="54"/>
    </row>
    <row r="965" ht="14.25" customHeight="1">
      <c r="A965" s="66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  <c r="AE965" s="54"/>
      <c r="AF965" s="54"/>
      <c r="AG965" s="54"/>
    </row>
    <row r="966" ht="14.25" customHeight="1">
      <c r="A966" s="66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  <c r="AE966" s="54"/>
      <c r="AF966" s="54"/>
      <c r="AG966" s="54"/>
    </row>
    <row r="967" ht="14.25" customHeight="1">
      <c r="A967" s="66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  <c r="AE967" s="54"/>
      <c r="AF967" s="54"/>
      <c r="AG967" s="54"/>
    </row>
    <row r="968" ht="14.25" customHeight="1">
      <c r="A968" s="66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  <c r="AE968" s="54"/>
      <c r="AF968" s="54"/>
      <c r="AG968" s="54"/>
    </row>
    <row r="969" ht="14.25" customHeight="1">
      <c r="A969" s="66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  <c r="AE969" s="54"/>
      <c r="AF969" s="54"/>
      <c r="AG969" s="54"/>
    </row>
    <row r="970" ht="14.25" customHeight="1">
      <c r="A970" s="66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  <c r="AC970" s="54"/>
      <c r="AD970" s="54"/>
      <c r="AE970" s="54"/>
      <c r="AF970" s="54"/>
      <c r="AG970" s="54"/>
    </row>
    <row r="971" ht="14.25" customHeight="1">
      <c r="A971" s="66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  <c r="AC971" s="54"/>
      <c r="AD971" s="54"/>
      <c r="AE971" s="54"/>
      <c r="AF971" s="54"/>
      <c r="AG971" s="54"/>
    </row>
    <row r="972" ht="14.25" customHeight="1">
      <c r="A972" s="66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  <c r="AC972" s="54"/>
      <c r="AD972" s="54"/>
      <c r="AE972" s="54"/>
      <c r="AF972" s="54"/>
      <c r="AG972" s="54"/>
    </row>
    <row r="973" ht="14.25" customHeight="1">
      <c r="A973" s="66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  <c r="AC973" s="54"/>
      <c r="AD973" s="54"/>
      <c r="AE973" s="54"/>
      <c r="AF973" s="54"/>
      <c r="AG973" s="54"/>
    </row>
    <row r="974" ht="14.25" customHeight="1">
      <c r="A974" s="66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  <c r="AC974" s="54"/>
      <c r="AD974" s="54"/>
      <c r="AE974" s="54"/>
      <c r="AF974" s="54"/>
      <c r="AG974" s="54"/>
    </row>
    <row r="975" ht="14.25" customHeight="1">
      <c r="A975" s="66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  <c r="AC975" s="54"/>
      <c r="AD975" s="54"/>
      <c r="AE975" s="54"/>
      <c r="AF975" s="54"/>
      <c r="AG975" s="54"/>
    </row>
    <row r="976" ht="14.25" customHeight="1">
      <c r="A976" s="66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  <c r="AC976" s="54"/>
      <c r="AD976" s="54"/>
      <c r="AE976" s="54"/>
      <c r="AF976" s="54"/>
      <c r="AG976" s="54"/>
    </row>
    <row r="977" ht="14.25" customHeight="1">
      <c r="A977" s="66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  <c r="AC977" s="54"/>
      <c r="AD977" s="54"/>
      <c r="AE977" s="54"/>
      <c r="AF977" s="54"/>
      <c r="AG977" s="54"/>
    </row>
    <row r="978" ht="14.25" customHeight="1">
      <c r="A978" s="66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  <c r="AC978" s="54"/>
      <c r="AD978" s="54"/>
      <c r="AE978" s="54"/>
      <c r="AF978" s="54"/>
      <c r="AG978" s="54"/>
    </row>
    <row r="979" ht="14.25" customHeight="1">
      <c r="A979" s="66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  <c r="AC979" s="54"/>
      <c r="AD979" s="54"/>
      <c r="AE979" s="54"/>
      <c r="AF979" s="54"/>
      <c r="AG979" s="54"/>
    </row>
    <row r="980" ht="14.25" customHeight="1">
      <c r="A980" s="66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  <c r="AB980" s="54"/>
      <c r="AC980" s="54"/>
      <c r="AD980" s="54"/>
      <c r="AE980" s="54"/>
      <c r="AF980" s="54"/>
      <c r="AG980" s="54"/>
    </row>
    <row r="981" ht="14.25" customHeight="1">
      <c r="A981" s="66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  <c r="AB981" s="54"/>
      <c r="AC981" s="54"/>
      <c r="AD981" s="54"/>
      <c r="AE981" s="54"/>
      <c r="AF981" s="54"/>
      <c r="AG981" s="54"/>
    </row>
    <row r="982" ht="14.25" customHeight="1">
      <c r="A982" s="66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  <c r="AB982" s="54"/>
      <c r="AC982" s="54"/>
      <c r="AD982" s="54"/>
      <c r="AE982" s="54"/>
      <c r="AF982" s="54"/>
      <c r="AG982" s="54"/>
    </row>
    <row r="983" ht="14.25" customHeight="1">
      <c r="A983" s="66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  <c r="AB983" s="54"/>
      <c r="AC983" s="54"/>
      <c r="AD983" s="54"/>
      <c r="AE983" s="54"/>
      <c r="AF983" s="54"/>
      <c r="AG983" s="54"/>
    </row>
    <row r="984" ht="14.25" customHeight="1">
      <c r="A984" s="66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  <c r="AB984" s="54"/>
      <c r="AC984" s="54"/>
      <c r="AD984" s="54"/>
      <c r="AE984" s="54"/>
      <c r="AF984" s="54"/>
      <c r="AG984" s="54"/>
    </row>
    <row r="985" ht="14.25" customHeight="1">
      <c r="A985" s="66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  <c r="AB985" s="54"/>
      <c r="AC985" s="54"/>
      <c r="AD985" s="54"/>
      <c r="AE985" s="54"/>
      <c r="AF985" s="54"/>
      <c r="AG985" s="54"/>
    </row>
    <row r="986" ht="14.25" customHeight="1">
      <c r="A986" s="66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  <c r="AB986" s="54"/>
      <c r="AC986" s="54"/>
      <c r="AD986" s="54"/>
      <c r="AE986" s="54"/>
      <c r="AF986" s="54"/>
      <c r="AG986" s="54"/>
    </row>
    <row r="987" ht="14.25" customHeight="1">
      <c r="A987" s="66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  <c r="AB987" s="54"/>
      <c r="AC987" s="54"/>
      <c r="AD987" s="54"/>
      <c r="AE987" s="54"/>
      <c r="AF987" s="54"/>
      <c r="AG987" s="54"/>
    </row>
    <row r="988" ht="14.25" customHeight="1">
      <c r="A988" s="66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  <c r="AB988" s="54"/>
      <c r="AC988" s="54"/>
      <c r="AD988" s="54"/>
      <c r="AE988" s="54"/>
      <c r="AF988" s="54"/>
      <c r="AG988" s="54"/>
    </row>
    <row r="989" ht="14.25" customHeight="1">
      <c r="A989" s="66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  <c r="AB989" s="54"/>
      <c r="AC989" s="54"/>
      <c r="AD989" s="54"/>
      <c r="AE989" s="54"/>
      <c r="AF989" s="54"/>
      <c r="AG989" s="54"/>
    </row>
    <row r="990" ht="14.25" customHeight="1">
      <c r="A990" s="66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  <c r="AB990" s="54"/>
      <c r="AC990" s="54"/>
      <c r="AD990" s="54"/>
      <c r="AE990" s="54"/>
      <c r="AF990" s="54"/>
      <c r="AG990" s="54"/>
    </row>
    <row r="991" ht="14.25" customHeight="1">
      <c r="A991" s="66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  <c r="AB991" s="54"/>
      <c r="AC991" s="54"/>
      <c r="AD991" s="54"/>
      <c r="AE991" s="54"/>
      <c r="AF991" s="54"/>
      <c r="AG991" s="54"/>
    </row>
    <row r="992" ht="14.25" customHeight="1">
      <c r="A992" s="66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  <c r="AB992" s="54"/>
      <c r="AC992" s="54"/>
      <c r="AD992" s="54"/>
      <c r="AE992" s="54"/>
      <c r="AF992" s="54"/>
      <c r="AG992" s="54"/>
    </row>
    <row r="993" ht="14.25" customHeight="1">
      <c r="A993" s="66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  <c r="AB993" s="54"/>
      <c r="AC993" s="54"/>
      <c r="AD993" s="54"/>
      <c r="AE993" s="54"/>
      <c r="AF993" s="54"/>
      <c r="AG993" s="54"/>
    </row>
    <row r="994" ht="14.25" customHeight="1">
      <c r="A994" s="66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  <c r="AC994" s="54"/>
      <c r="AD994" s="54"/>
      <c r="AE994" s="54"/>
      <c r="AF994" s="54"/>
      <c r="AG994" s="54"/>
    </row>
    <row r="995" ht="14.25" customHeight="1">
      <c r="A995" s="66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  <c r="AC995" s="54"/>
      <c r="AD995" s="54"/>
      <c r="AE995" s="54"/>
      <c r="AF995" s="54"/>
      <c r="AG995" s="54"/>
    </row>
    <row r="996" ht="14.25" customHeight="1">
      <c r="A996" s="66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  <c r="AA996" s="54"/>
      <c r="AB996" s="54"/>
      <c r="AC996" s="54"/>
      <c r="AD996" s="54"/>
      <c r="AE996" s="54"/>
      <c r="AF996" s="54"/>
      <c r="AG996" s="54"/>
    </row>
    <row r="997" ht="14.25" customHeight="1">
      <c r="A997" s="66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  <c r="AC997" s="54"/>
      <c r="AD997" s="54"/>
      <c r="AE997" s="54"/>
      <c r="AF997" s="54"/>
      <c r="AG997" s="54"/>
    </row>
    <row r="998" ht="14.25" customHeight="1">
      <c r="A998" s="66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  <c r="AB998" s="54"/>
      <c r="AC998" s="54"/>
      <c r="AD998" s="54"/>
      <c r="AE998" s="54"/>
      <c r="AF998" s="54"/>
      <c r="AG998" s="54"/>
    </row>
  </sheetData>
  <hyperlinks>
    <hyperlink r:id="rId1" location="gid=353029270" ref="A33"/>
  </hyperlink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5" width="13.5"/>
    <col customWidth="1" min="6" max="22" width="7.75"/>
  </cols>
  <sheetData>
    <row r="1" ht="14.25" customHeight="1">
      <c r="A1" s="86" t="s">
        <v>4</v>
      </c>
      <c r="B1" s="87"/>
      <c r="C1" s="87"/>
      <c r="D1" s="87"/>
      <c r="E1" s="88"/>
    </row>
    <row r="2" ht="14.25" customHeight="1">
      <c r="A2" s="89"/>
      <c r="B2" s="90">
        <v>2021.0</v>
      </c>
      <c r="C2" s="90">
        <v>2022.0</v>
      </c>
      <c r="D2" s="90">
        <v>2023.0</v>
      </c>
      <c r="E2" s="91">
        <v>2024.0</v>
      </c>
    </row>
    <row r="3" ht="14.25" customHeight="1">
      <c r="A3" s="92" t="s">
        <v>37</v>
      </c>
      <c r="B3" s="93">
        <v>7.5539904E7</v>
      </c>
      <c r="C3" s="93">
        <v>6.171330550000001E7</v>
      </c>
      <c r="D3" s="93">
        <v>5.75353625E7</v>
      </c>
      <c r="E3" s="94">
        <v>5.54779225E7</v>
      </c>
    </row>
    <row r="4" ht="14.25" customHeight="1">
      <c r="A4" s="95">
        <v>2021.0</v>
      </c>
      <c r="B4" s="93">
        <v>1.3186955649999999E8</v>
      </c>
      <c r="C4" s="93">
        <v>5.2597105E7</v>
      </c>
      <c r="D4" s="93">
        <v>4.5025838E7</v>
      </c>
      <c r="E4" s="94">
        <v>4.1006845E7</v>
      </c>
    </row>
    <row r="5" ht="14.25" customHeight="1">
      <c r="A5" s="95">
        <v>2022.0</v>
      </c>
      <c r="B5" s="93">
        <v>0.0</v>
      </c>
      <c r="C5" s="93">
        <v>1.061519525E8</v>
      </c>
      <c r="D5" s="93">
        <v>4.0414088E7</v>
      </c>
      <c r="E5" s="94">
        <v>3.1974173E7</v>
      </c>
    </row>
    <row r="6" ht="14.25" customHeight="1">
      <c r="A6" s="95">
        <v>2023.0</v>
      </c>
      <c r="B6" s="93">
        <v>0.0</v>
      </c>
      <c r="C6" s="93">
        <v>0.0</v>
      </c>
      <c r="D6" s="93">
        <v>1.2317463399999999E8</v>
      </c>
      <c r="E6" s="94">
        <v>4.4414436E7</v>
      </c>
    </row>
    <row r="7" ht="14.25" customHeight="1">
      <c r="A7" s="95">
        <v>2024.0</v>
      </c>
      <c r="B7" s="93">
        <v>0.0</v>
      </c>
      <c r="C7" s="93">
        <v>0.0</v>
      </c>
      <c r="D7" s="93">
        <v>0.0</v>
      </c>
      <c r="E7" s="94">
        <v>1.527273275E8</v>
      </c>
    </row>
    <row r="8" ht="14.25" customHeight="1">
      <c r="A8" s="89"/>
      <c r="B8" s="96"/>
      <c r="C8" s="96"/>
      <c r="D8" s="96"/>
      <c r="E8" s="97"/>
    </row>
    <row r="9" ht="14.25" customHeight="1">
      <c r="A9" s="98" t="s">
        <v>5</v>
      </c>
      <c r="B9" s="96"/>
      <c r="C9" s="96"/>
      <c r="D9" s="96"/>
      <c r="E9" s="97"/>
    </row>
    <row r="10" ht="14.25" customHeight="1">
      <c r="A10" s="89"/>
      <c r="B10" s="90">
        <v>2021.0</v>
      </c>
      <c r="C10" s="90">
        <v>2022.0</v>
      </c>
      <c r="D10" s="90">
        <v>2023.0</v>
      </c>
      <c r="E10" s="91">
        <v>2024.0</v>
      </c>
    </row>
    <row r="11" ht="14.25" customHeight="1">
      <c r="A11" s="92" t="s">
        <v>37</v>
      </c>
      <c r="B11" s="93">
        <v>3.74877415E7</v>
      </c>
      <c r="C11" s="93">
        <v>3.0335338E7</v>
      </c>
      <c r="D11" s="93">
        <v>2.74854745E7</v>
      </c>
      <c r="E11" s="94">
        <v>2.6831497E7</v>
      </c>
    </row>
    <row r="12" ht="14.25" customHeight="1">
      <c r="A12" s="95">
        <v>2021.0</v>
      </c>
      <c r="B12" s="93">
        <v>6.6061534E7</v>
      </c>
      <c r="C12" s="93">
        <v>2.5603149E7</v>
      </c>
      <c r="D12" s="93">
        <v>2.12661185E7</v>
      </c>
      <c r="E12" s="94">
        <v>1.9554051E7</v>
      </c>
    </row>
    <row r="13" ht="14.25" customHeight="1">
      <c r="A13" s="95">
        <v>2022.0</v>
      </c>
      <c r="B13" s="93">
        <v>0.0</v>
      </c>
      <c r="C13" s="93">
        <v>5.19678335E7</v>
      </c>
      <c r="D13" s="93">
        <v>1.9015788E7</v>
      </c>
      <c r="E13" s="94">
        <v>1.52587985E7</v>
      </c>
    </row>
    <row r="14" ht="14.25" customHeight="1">
      <c r="A14" s="95">
        <v>2023.0</v>
      </c>
      <c r="B14" s="93">
        <v>0.0</v>
      </c>
      <c r="C14" s="93">
        <v>0.0</v>
      </c>
      <c r="D14" s="93">
        <v>5.9071749E7</v>
      </c>
      <c r="E14" s="94">
        <v>2.09702955E7</v>
      </c>
    </row>
    <row r="15" ht="14.25" customHeight="1">
      <c r="A15" s="95">
        <v>2024.0</v>
      </c>
      <c r="B15" s="93">
        <v>0.0</v>
      </c>
      <c r="C15" s="93">
        <v>0.0</v>
      </c>
      <c r="D15" s="93">
        <v>0.0</v>
      </c>
      <c r="E15" s="94">
        <v>7.3401526E7</v>
      </c>
    </row>
    <row r="16" ht="14.25" customHeight="1">
      <c r="A16" s="89"/>
      <c r="B16" s="96"/>
      <c r="C16" s="96"/>
      <c r="D16" s="96"/>
      <c r="E16" s="97"/>
    </row>
    <row r="17" ht="14.25" customHeight="1">
      <c r="A17" s="98" t="s">
        <v>2</v>
      </c>
      <c r="B17" s="96"/>
      <c r="C17" s="96"/>
      <c r="D17" s="96"/>
      <c r="E17" s="97"/>
    </row>
    <row r="18" ht="14.25" customHeight="1">
      <c r="A18" s="89"/>
      <c r="B18" s="90">
        <v>2021.0</v>
      </c>
      <c r="C18" s="90">
        <v>2022.0</v>
      </c>
      <c r="D18" s="90">
        <v>2023.0</v>
      </c>
      <c r="E18" s="91">
        <v>2024.0</v>
      </c>
    </row>
    <row r="19" ht="14.25" customHeight="1">
      <c r="A19" s="92" t="s">
        <v>37</v>
      </c>
      <c r="B19" s="93">
        <v>5751.0</v>
      </c>
      <c r="C19" s="93">
        <v>4636.0</v>
      </c>
      <c r="D19" s="93">
        <v>4233.0</v>
      </c>
      <c r="E19" s="94">
        <v>3921.0</v>
      </c>
    </row>
    <row r="20" ht="14.25" customHeight="1">
      <c r="A20" s="95">
        <v>2021.0</v>
      </c>
      <c r="B20" s="93">
        <v>14915.0</v>
      </c>
      <c r="C20" s="93">
        <v>4107.0</v>
      </c>
      <c r="D20" s="93">
        <v>3491.0</v>
      </c>
      <c r="E20" s="94">
        <v>3075.0</v>
      </c>
    </row>
    <row r="21" ht="14.25" customHeight="1">
      <c r="A21" s="95">
        <v>2022.0</v>
      </c>
      <c r="B21" s="93"/>
      <c r="C21" s="93">
        <v>12720.0</v>
      </c>
      <c r="D21" s="93">
        <v>3389.0</v>
      </c>
      <c r="E21" s="94">
        <v>2686.0</v>
      </c>
    </row>
    <row r="22" ht="14.25" customHeight="1">
      <c r="A22" s="95">
        <v>2023.0</v>
      </c>
      <c r="B22" s="93"/>
      <c r="C22" s="93"/>
      <c r="D22" s="93">
        <v>15166.0</v>
      </c>
      <c r="E22" s="94">
        <v>3799.0</v>
      </c>
    </row>
    <row r="23" ht="14.25" customHeight="1">
      <c r="A23" s="95">
        <v>2024.0</v>
      </c>
      <c r="B23" s="93"/>
      <c r="C23" s="93"/>
      <c r="D23" s="93"/>
      <c r="E23" s="94">
        <v>18316.0</v>
      </c>
    </row>
    <row r="24" ht="14.25" customHeight="1">
      <c r="A24" s="89"/>
      <c r="B24" s="96"/>
      <c r="C24" s="96"/>
      <c r="D24" s="96"/>
      <c r="E24" s="97"/>
    </row>
    <row r="25" ht="14.25" customHeight="1">
      <c r="A25" s="98" t="s">
        <v>3</v>
      </c>
      <c r="B25" s="96"/>
      <c r="C25" s="96"/>
      <c r="D25" s="96"/>
      <c r="E25" s="97"/>
    </row>
    <row r="26" ht="14.25" customHeight="1">
      <c r="A26" s="89"/>
      <c r="B26" s="90">
        <v>2021.0</v>
      </c>
      <c r="C26" s="90">
        <v>2022.0</v>
      </c>
      <c r="D26" s="90">
        <v>2023.0</v>
      </c>
      <c r="E26" s="91">
        <v>2024.0</v>
      </c>
    </row>
    <row r="27" ht="14.25" customHeight="1">
      <c r="A27" s="92" t="s">
        <v>37</v>
      </c>
      <c r="B27" s="93">
        <v>13739.0</v>
      </c>
      <c r="C27" s="93">
        <v>11475.0</v>
      </c>
      <c r="D27" s="93">
        <v>11331.0</v>
      </c>
      <c r="E27" s="94">
        <v>10581.0</v>
      </c>
    </row>
    <row r="28" ht="14.25" customHeight="1">
      <c r="A28" s="95">
        <v>2021.0</v>
      </c>
      <c r="B28" s="93">
        <v>22911.0</v>
      </c>
      <c r="C28" s="93">
        <v>10035.0</v>
      </c>
      <c r="D28" s="93">
        <v>9346.0</v>
      </c>
      <c r="E28" s="94">
        <v>8197.0</v>
      </c>
    </row>
    <row r="29" ht="14.25" customHeight="1">
      <c r="A29" s="95">
        <v>2022.0</v>
      </c>
      <c r="B29" s="93"/>
      <c r="C29" s="93">
        <v>18640.0</v>
      </c>
      <c r="D29" s="93">
        <v>7992.0</v>
      </c>
      <c r="E29" s="94">
        <v>6336.0</v>
      </c>
    </row>
    <row r="30" ht="14.25" customHeight="1">
      <c r="A30" s="95">
        <v>2023.0</v>
      </c>
      <c r="B30" s="93"/>
      <c r="C30" s="93"/>
      <c r="D30" s="93">
        <v>22735.0</v>
      </c>
      <c r="E30" s="94">
        <v>9002.0</v>
      </c>
    </row>
    <row r="31" ht="14.25" customHeight="1">
      <c r="A31" s="99">
        <v>2024.0</v>
      </c>
      <c r="B31" s="100"/>
      <c r="C31" s="100"/>
      <c r="D31" s="100"/>
      <c r="E31" s="101">
        <v>27144.0</v>
      </c>
    </row>
    <row r="32" ht="14.25" customHeight="1">
      <c r="A32" s="102" t="s">
        <v>38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landscape"/>
  <drawing r:id="rId1"/>
</worksheet>
</file>